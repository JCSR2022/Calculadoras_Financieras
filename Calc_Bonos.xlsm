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Calculadoras\"/>
    </mc:Choice>
  </mc:AlternateContent>
  <xr:revisionPtr revIDLastSave="0" documentId="13_ncr:1_{BC463017-1B5F-45B8-87E5-0B9B4CAC2CBC}" xr6:coauthVersionLast="47" xr6:coauthVersionMax="47" xr10:uidLastSave="{00000000-0000-0000-0000-000000000000}"/>
  <bookViews>
    <workbookView xWindow="-120" yWindow="-120" windowWidth="23940" windowHeight="11895" xr2:uid="{932D8200-6D4C-4C33-8516-7EF5EB8018E2}"/>
  </bookViews>
  <sheets>
    <sheet name="Calculadora" sheetId="10" r:id="rId1"/>
    <sheet name="Info_Bonos" sheetId="1" r:id="rId2"/>
    <sheet name="rev_inhabiles" sheetId="11" state="hidden" r:id="rId3"/>
    <sheet name="Bonos_disponibles" sheetId="24" state="hidden" r:id="rId4"/>
  </sheets>
  <definedNames>
    <definedName name="coupons">#REF!</definedName>
    <definedName name="daycount">#REF!</definedName>
    <definedName name="maturitidate">#REF!</definedName>
    <definedName name="price">#REF!</definedName>
    <definedName name="rate">#REF!</definedName>
    <definedName name="redemtion">#REF!</definedName>
    <definedName name="valuedat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0" i="10" l="1"/>
  <c r="I13" i="10"/>
  <c r="I11" i="10"/>
  <c r="I14" i="10"/>
  <c r="I6" i="10" l="1"/>
  <c r="I7" i="10"/>
  <c r="I8" i="10"/>
  <c r="I9" i="10"/>
  <c r="I12" i="10"/>
  <c r="I5" i="10"/>
  <c r="I30" i="11"/>
  <c r="G21" i="11" l="1"/>
  <c r="E17" i="11"/>
  <c r="E21" i="11" s="1"/>
  <c r="I21" i="11" s="1"/>
  <c r="G13" i="11"/>
  <c r="G9" i="11"/>
  <c r="E9" i="11"/>
  <c r="E13" i="11" s="1"/>
  <c r="I5" i="11"/>
  <c r="P2" i="11"/>
  <c r="P3" i="11" s="1"/>
  <c r="N3" i="11" s="1"/>
  <c r="E2" i="11"/>
  <c r="I17" i="11" l="1"/>
  <c r="O3" i="11"/>
  <c r="P4" i="11"/>
  <c r="I13" i="11"/>
  <c r="I9" i="11"/>
  <c r="D5" i="10"/>
  <c r="O4" i="11" l="1"/>
  <c r="N4" i="11"/>
  <c r="P5" i="11"/>
  <c r="N5" i="11" l="1"/>
  <c r="P6" i="11"/>
  <c r="O5" i="11"/>
  <c r="P7" i="11" l="1"/>
  <c r="O6" i="11"/>
  <c r="N6" i="11"/>
  <c r="P8" i="11" l="1"/>
  <c r="O7" i="11"/>
  <c r="N7" i="11"/>
  <c r="P9" i="11" l="1"/>
  <c r="O8" i="11"/>
  <c r="N8" i="11"/>
  <c r="N9" i="11" l="1"/>
  <c r="P10" i="11"/>
  <c r="O9" i="11"/>
  <c r="P11" i="11" l="1"/>
  <c r="O10" i="11"/>
  <c r="N10" i="11"/>
  <c r="P12" i="11" l="1"/>
  <c r="O11" i="11"/>
  <c r="N11" i="11"/>
  <c r="P13" i="11" l="1"/>
  <c r="O12" i="11"/>
  <c r="N12" i="11"/>
  <c r="N13" i="11" l="1"/>
  <c r="P14" i="11"/>
  <c r="O13" i="11"/>
  <c r="P15" i="11" l="1"/>
  <c r="O14" i="11"/>
  <c r="N14" i="11"/>
  <c r="P16" i="11" l="1"/>
  <c r="O15" i="11"/>
  <c r="N15" i="11"/>
  <c r="P17" i="11" l="1"/>
  <c r="O16" i="11"/>
  <c r="N16" i="11"/>
  <c r="P18" i="11" l="1"/>
  <c r="O17" i="11"/>
  <c r="N17" i="11"/>
  <c r="P19" i="11" l="1"/>
  <c r="O18" i="11"/>
  <c r="N18" i="11"/>
  <c r="N19" i="11" l="1"/>
  <c r="O19" i="11"/>
  <c r="P20" i="11"/>
  <c r="O20" i="11" l="1"/>
  <c r="P21" i="11"/>
  <c r="N20" i="11"/>
  <c r="P22" i="11" l="1"/>
  <c r="O21" i="11"/>
  <c r="N21" i="11"/>
  <c r="N22" i="11" l="1"/>
  <c r="O22" i="11"/>
  <c r="P23" i="11"/>
  <c r="P24" i="11" l="1"/>
  <c r="O23" i="11"/>
  <c r="N23" i="11"/>
  <c r="P25" i="11" l="1"/>
  <c r="O24" i="11"/>
  <c r="N24" i="11"/>
  <c r="K5" i="11" l="1"/>
  <c r="P26" i="11"/>
  <c r="O25" i="11"/>
  <c r="N25" i="11"/>
  <c r="N26" i="11" l="1"/>
  <c r="P27" i="11"/>
  <c r="O26" i="11"/>
  <c r="P28" i="11" l="1"/>
  <c r="O27" i="11"/>
  <c r="N27" i="11"/>
  <c r="P29" i="11" l="1"/>
  <c r="O28" i="11"/>
  <c r="N28" i="11"/>
  <c r="P30" i="11" l="1"/>
  <c r="O29" i="11"/>
  <c r="N29" i="11"/>
  <c r="N30" i="11" l="1"/>
  <c r="P31" i="11"/>
  <c r="O30" i="11"/>
  <c r="P32" i="11" l="1"/>
  <c r="O31" i="11"/>
  <c r="N31" i="11"/>
  <c r="P33" i="11" l="1"/>
  <c r="O32" i="11"/>
  <c r="N32" i="11"/>
  <c r="P34" i="11" l="1"/>
  <c r="O33" i="11"/>
  <c r="N33" i="11"/>
  <c r="N34" i="11" l="1"/>
  <c r="O34" i="11"/>
  <c r="P35" i="11"/>
  <c r="P36" i="11" l="1"/>
  <c r="O35" i="11"/>
  <c r="N35" i="11"/>
  <c r="P37" i="11" l="1"/>
  <c r="O36" i="11"/>
  <c r="N36" i="11"/>
  <c r="P38" i="11" l="1"/>
  <c r="O37" i="11"/>
  <c r="N37" i="11"/>
  <c r="N38" i="11" l="1"/>
  <c r="O38" i="11"/>
  <c r="P39" i="11"/>
  <c r="P40" i="11" l="1"/>
  <c r="O39" i="11"/>
  <c r="N39" i="11"/>
  <c r="P41" i="11" l="1"/>
  <c r="O40" i="11"/>
  <c r="N40" i="11"/>
  <c r="P42" i="11" l="1"/>
  <c r="O41" i="11"/>
  <c r="N41" i="11"/>
  <c r="N42" i="11" l="1"/>
  <c r="P43" i="11"/>
  <c r="O42" i="11"/>
  <c r="P44" i="11" l="1"/>
  <c r="O43" i="11"/>
  <c r="N43" i="11"/>
  <c r="P45" i="11" l="1"/>
  <c r="O44" i="11"/>
  <c r="N44" i="11"/>
  <c r="P46" i="11" l="1"/>
  <c r="O45" i="11"/>
  <c r="N45" i="11"/>
  <c r="N46" i="11" l="1"/>
  <c r="P47" i="11"/>
  <c r="O46" i="11"/>
  <c r="P48" i="11" l="1"/>
  <c r="O47" i="11"/>
  <c r="N47" i="11"/>
  <c r="P49" i="11" l="1"/>
  <c r="O48" i="11"/>
  <c r="N48" i="11"/>
  <c r="P50" i="11" l="1"/>
  <c r="O49" i="11"/>
  <c r="N49" i="11"/>
  <c r="N50" i="11" l="1"/>
  <c r="O50" i="11"/>
  <c r="P51" i="11"/>
  <c r="P52" i="11" l="1"/>
  <c r="O51" i="11"/>
  <c r="N51" i="11"/>
  <c r="P53" i="11" l="1"/>
  <c r="O52" i="11"/>
  <c r="N52" i="11"/>
  <c r="P54" i="11" l="1"/>
  <c r="O53" i="11"/>
  <c r="N53" i="11"/>
  <c r="N54" i="11" l="1"/>
  <c r="O54" i="11"/>
  <c r="P55" i="11"/>
  <c r="P56" i="11" l="1"/>
  <c r="O55" i="11"/>
  <c r="N55" i="11"/>
  <c r="P57" i="11" l="1"/>
  <c r="O56" i="11"/>
  <c r="N56" i="11"/>
  <c r="P58" i="11" l="1"/>
  <c r="O57" i="11"/>
  <c r="N57" i="11"/>
  <c r="N58" i="11" l="1"/>
  <c r="P59" i="11"/>
  <c r="O58" i="11"/>
  <c r="P60" i="11" l="1"/>
  <c r="O59" i="11"/>
  <c r="N59" i="11"/>
  <c r="P61" i="11" l="1"/>
  <c r="O60" i="11"/>
  <c r="N60" i="11"/>
  <c r="P62" i="11" l="1"/>
  <c r="O61" i="11"/>
  <c r="N61" i="11"/>
  <c r="N62" i="11" l="1"/>
  <c r="P63" i="11"/>
  <c r="O62" i="11"/>
  <c r="P64" i="11" l="1"/>
  <c r="O63" i="11"/>
  <c r="N63" i="11"/>
  <c r="P65" i="11" l="1"/>
  <c r="O64" i="11"/>
  <c r="N64" i="11"/>
  <c r="P66" i="11" l="1"/>
  <c r="O65" i="11"/>
  <c r="N65" i="11"/>
  <c r="N66" i="11" l="1"/>
  <c r="O66" i="11"/>
  <c r="P67" i="11"/>
  <c r="P68" i="11" l="1"/>
  <c r="O67" i="11"/>
  <c r="N67" i="11"/>
  <c r="P69" i="11" l="1"/>
  <c r="O68" i="11"/>
  <c r="N68" i="11"/>
  <c r="P70" i="11" l="1"/>
  <c r="O69" i="11"/>
  <c r="N69" i="11"/>
  <c r="N70" i="11" l="1"/>
  <c r="O70" i="11"/>
  <c r="P71" i="11"/>
  <c r="P72" i="11" l="1"/>
  <c r="O71" i="11"/>
  <c r="N71" i="11"/>
  <c r="P73" i="11" l="1"/>
  <c r="O72" i="11"/>
  <c r="N72" i="11"/>
  <c r="P74" i="11" l="1"/>
  <c r="O73" i="11"/>
  <c r="N73" i="11"/>
  <c r="N74" i="11" l="1"/>
  <c r="P75" i="11"/>
  <c r="O74" i="11"/>
  <c r="P76" i="11" l="1"/>
  <c r="O75" i="11"/>
  <c r="N75" i="11"/>
  <c r="P77" i="11" l="1"/>
  <c r="O76" i="11"/>
  <c r="N76" i="11"/>
  <c r="P78" i="11" l="1"/>
  <c r="O77" i="11"/>
  <c r="N77" i="11"/>
  <c r="N78" i="11" l="1"/>
  <c r="P79" i="11"/>
  <c r="O78" i="11"/>
  <c r="P80" i="11" l="1"/>
  <c r="O79" i="11"/>
  <c r="N79" i="11"/>
  <c r="P81" i="11" l="1"/>
  <c r="O80" i="11"/>
  <c r="N80" i="11"/>
  <c r="P82" i="11" l="1"/>
  <c r="O81" i="11"/>
  <c r="N81" i="11"/>
  <c r="N82" i="11" l="1"/>
  <c r="P83" i="11"/>
  <c r="O82" i="11"/>
  <c r="P84" i="11" l="1"/>
  <c r="O83" i="11"/>
  <c r="N83" i="11"/>
  <c r="P85" i="11" l="1"/>
  <c r="O84" i="11"/>
  <c r="N84" i="11"/>
  <c r="P86" i="11" l="1"/>
  <c r="O85" i="11"/>
  <c r="N85" i="11"/>
  <c r="N86" i="11" l="1"/>
  <c r="O86" i="11"/>
  <c r="P87" i="11"/>
  <c r="P88" i="11" l="1"/>
  <c r="O87" i="11"/>
  <c r="N87" i="11"/>
  <c r="P89" i="11" l="1"/>
  <c r="O88" i="11"/>
  <c r="N88" i="11"/>
  <c r="P90" i="11" l="1"/>
  <c r="O89" i="11"/>
  <c r="N89" i="11"/>
  <c r="N90" i="11" l="1"/>
  <c r="P91" i="11"/>
  <c r="O90" i="11"/>
  <c r="P92" i="11" l="1"/>
  <c r="O91" i="11"/>
  <c r="N91" i="11"/>
  <c r="P93" i="11" l="1"/>
  <c r="O92" i="11"/>
  <c r="N92" i="11"/>
  <c r="P94" i="11" l="1"/>
  <c r="O93" i="11"/>
  <c r="N93" i="11"/>
  <c r="N94" i="11" l="1"/>
  <c r="P95" i="11"/>
  <c r="O94" i="11"/>
  <c r="P96" i="11" l="1"/>
  <c r="O95" i="11"/>
  <c r="N95" i="11"/>
  <c r="P97" i="11" l="1"/>
  <c r="O96" i="11"/>
  <c r="N96" i="11"/>
  <c r="P98" i="11" l="1"/>
  <c r="O97" i="11"/>
  <c r="N97" i="11"/>
  <c r="N98" i="11" l="1"/>
  <c r="O98" i="11"/>
  <c r="P99" i="11"/>
  <c r="P100" i="11" l="1"/>
  <c r="O99" i="11"/>
  <c r="N99" i="11"/>
  <c r="P101" i="11" l="1"/>
  <c r="O100" i="11"/>
  <c r="N100" i="11"/>
  <c r="P102" i="11" l="1"/>
  <c r="O101" i="11"/>
  <c r="N101" i="11"/>
  <c r="N102" i="11" l="1"/>
  <c r="O102" i="11"/>
  <c r="P103" i="11"/>
  <c r="P104" i="11" l="1"/>
  <c r="O103" i="11"/>
  <c r="N103" i="11"/>
  <c r="P105" i="11" l="1"/>
  <c r="O104" i="11"/>
  <c r="N104" i="11"/>
  <c r="P106" i="11" l="1"/>
  <c r="O105" i="11"/>
  <c r="N105" i="11"/>
  <c r="N106" i="11" l="1"/>
  <c r="P107" i="11"/>
  <c r="O106" i="11"/>
  <c r="P108" i="11" l="1"/>
  <c r="O107" i="11"/>
  <c r="N107" i="11"/>
  <c r="P109" i="11" l="1"/>
  <c r="O108" i="11"/>
  <c r="N108" i="11"/>
  <c r="P110" i="11" l="1"/>
  <c r="O109" i="11"/>
  <c r="N109" i="11"/>
  <c r="N110" i="11" l="1"/>
  <c r="P111" i="11"/>
  <c r="O110" i="11"/>
  <c r="P112" i="11" l="1"/>
  <c r="O111" i="11"/>
  <c r="N111" i="11"/>
  <c r="P113" i="11" l="1"/>
  <c r="O112" i="11"/>
  <c r="N112" i="11"/>
  <c r="P114" i="11" l="1"/>
  <c r="O113" i="11"/>
  <c r="N113" i="11"/>
  <c r="N114" i="11" l="1"/>
  <c r="O114" i="11"/>
  <c r="P115" i="11"/>
  <c r="P116" i="11" l="1"/>
  <c r="O115" i="11"/>
  <c r="N115" i="11"/>
  <c r="P117" i="11" l="1"/>
  <c r="O116" i="11"/>
  <c r="N116" i="11"/>
  <c r="P118" i="11" l="1"/>
  <c r="O117" i="11"/>
  <c r="N117" i="11"/>
  <c r="N118" i="11" l="1"/>
  <c r="O118" i="11"/>
  <c r="P119" i="11"/>
  <c r="P120" i="11" l="1"/>
  <c r="O119" i="11"/>
  <c r="N119" i="11"/>
  <c r="P121" i="11" l="1"/>
  <c r="O120" i="11"/>
  <c r="N120" i="11"/>
  <c r="P122" i="11" l="1"/>
  <c r="O121" i="11"/>
  <c r="N121" i="11"/>
  <c r="N122" i="11" l="1"/>
  <c r="P123" i="11"/>
  <c r="O122" i="11"/>
  <c r="P124" i="11" l="1"/>
  <c r="O123" i="11"/>
  <c r="N123" i="11"/>
  <c r="P125" i="11" l="1"/>
  <c r="O124" i="11"/>
  <c r="N124" i="11"/>
  <c r="P126" i="11" l="1"/>
  <c r="O125" i="11"/>
  <c r="N125" i="11"/>
  <c r="N126" i="11" l="1"/>
  <c r="P127" i="11"/>
  <c r="O126" i="11"/>
  <c r="P128" i="11" l="1"/>
  <c r="O127" i="11"/>
  <c r="N127" i="11"/>
  <c r="P129" i="11" l="1"/>
  <c r="O128" i="11"/>
  <c r="N128" i="11"/>
  <c r="P130" i="11" l="1"/>
  <c r="O129" i="11"/>
  <c r="N129" i="11"/>
  <c r="N130" i="11" l="1"/>
  <c r="P131" i="11"/>
  <c r="O130" i="11"/>
  <c r="P132" i="11" l="1"/>
  <c r="O131" i="11"/>
  <c r="N131" i="11"/>
  <c r="P133" i="11" l="1"/>
  <c r="O132" i="11"/>
  <c r="N132" i="11"/>
  <c r="P134" i="11" l="1"/>
  <c r="O133" i="11"/>
  <c r="N133" i="11"/>
  <c r="N134" i="11" l="1"/>
  <c r="O134" i="11"/>
  <c r="P135" i="11"/>
  <c r="P136" i="11" l="1"/>
  <c r="O135" i="11"/>
  <c r="N135" i="11"/>
  <c r="P137" i="11" l="1"/>
  <c r="O136" i="11"/>
  <c r="N136" i="11"/>
  <c r="P138" i="11" l="1"/>
  <c r="O137" i="11"/>
  <c r="N137" i="11"/>
  <c r="N138" i="11" l="1"/>
  <c r="P139" i="11"/>
  <c r="O138" i="11"/>
  <c r="P140" i="11" l="1"/>
  <c r="O139" i="11"/>
  <c r="N139" i="11"/>
  <c r="P141" i="11" l="1"/>
  <c r="O140" i="11"/>
  <c r="N140" i="11"/>
  <c r="P142" i="11" l="1"/>
  <c r="O141" i="11"/>
  <c r="N141" i="11"/>
  <c r="N142" i="11" l="1"/>
  <c r="P143" i="11"/>
  <c r="O142" i="11"/>
  <c r="P144" i="11" l="1"/>
  <c r="O143" i="11"/>
  <c r="N143" i="11"/>
  <c r="P145" i="11" l="1"/>
  <c r="O144" i="11"/>
  <c r="N144" i="11"/>
  <c r="P146" i="11" l="1"/>
  <c r="O145" i="11"/>
  <c r="N145" i="11"/>
  <c r="N146" i="11" l="1"/>
  <c r="O146" i="11"/>
  <c r="P147" i="11"/>
  <c r="P148" i="11" l="1"/>
  <c r="O147" i="11"/>
  <c r="N147" i="11"/>
  <c r="P149" i="11" l="1"/>
  <c r="O148" i="11"/>
  <c r="N148" i="11"/>
  <c r="P150" i="11" l="1"/>
  <c r="O149" i="11"/>
  <c r="N149" i="11"/>
  <c r="N150" i="11" l="1"/>
  <c r="O150" i="11"/>
  <c r="P151" i="11"/>
  <c r="P152" i="11" l="1"/>
  <c r="O151" i="11"/>
  <c r="N151" i="11"/>
  <c r="P153" i="11" l="1"/>
  <c r="O152" i="11"/>
  <c r="N152" i="11"/>
  <c r="P154" i="11" l="1"/>
  <c r="O153" i="11"/>
  <c r="N153" i="11"/>
  <c r="N154" i="11" l="1"/>
  <c r="P155" i="11"/>
  <c r="O154" i="11"/>
  <c r="P156" i="11" l="1"/>
  <c r="O155" i="11"/>
  <c r="N155" i="11"/>
  <c r="P157" i="11" l="1"/>
  <c r="O156" i="11"/>
  <c r="N156" i="11"/>
  <c r="P158" i="11" l="1"/>
  <c r="O157" i="11"/>
  <c r="N157" i="11"/>
  <c r="N158" i="11" l="1"/>
  <c r="P159" i="11"/>
  <c r="O158" i="11"/>
  <c r="P160" i="11" l="1"/>
  <c r="O159" i="11"/>
  <c r="N159" i="11"/>
  <c r="P161" i="11" l="1"/>
  <c r="O160" i="11"/>
  <c r="N160" i="11"/>
  <c r="P162" i="11" l="1"/>
  <c r="O161" i="11"/>
  <c r="N161" i="11"/>
  <c r="N162" i="11" l="1"/>
  <c r="P163" i="11"/>
  <c r="O162" i="11"/>
  <c r="P164" i="11" l="1"/>
  <c r="O163" i="11"/>
  <c r="N163" i="11"/>
  <c r="P165" i="11" l="1"/>
  <c r="O164" i="11"/>
  <c r="N164" i="11"/>
  <c r="N165" i="11" l="1"/>
  <c r="P166" i="11"/>
  <c r="O165" i="11"/>
  <c r="N166" i="11" l="1"/>
  <c r="O166" i="11"/>
  <c r="P167" i="11"/>
  <c r="P168" i="11" l="1"/>
  <c r="O167" i="11"/>
  <c r="N167" i="11"/>
  <c r="P169" i="11" l="1"/>
  <c r="O168" i="11"/>
  <c r="N168" i="11"/>
  <c r="N169" i="11" l="1"/>
  <c r="P170" i="11"/>
  <c r="O169" i="11"/>
  <c r="N170" i="11" l="1"/>
  <c r="P171" i="11"/>
  <c r="O170" i="11"/>
  <c r="P172" i="11" l="1"/>
  <c r="O171" i="11"/>
  <c r="N171" i="11"/>
  <c r="P173" i="11" l="1"/>
  <c r="O172" i="11"/>
  <c r="N172" i="11"/>
  <c r="N173" i="11" l="1"/>
  <c r="P174" i="11"/>
  <c r="O173" i="11"/>
  <c r="P175" i="11" l="1"/>
  <c r="N174" i="11"/>
  <c r="O174" i="11"/>
  <c r="P176" i="11" l="1"/>
  <c r="O175" i="11"/>
  <c r="N175" i="11"/>
  <c r="P177" i="11" l="1"/>
  <c r="N176" i="11"/>
  <c r="O176" i="11"/>
  <c r="P178" i="11" l="1"/>
  <c r="N177" i="11"/>
  <c r="O177" i="11"/>
  <c r="P179" i="11" l="1"/>
  <c r="O178" i="11"/>
  <c r="N178" i="11"/>
  <c r="P180" i="11" l="1"/>
  <c r="O179" i="11"/>
  <c r="N179" i="11"/>
  <c r="N180" i="11" l="1"/>
  <c r="P181" i="11"/>
  <c r="O180" i="11"/>
  <c r="P182" i="11" l="1"/>
  <c r="O181" i="11"/>
  <c r="N181" i="11"/>
  <c r="P183" i="11" l="1"/>
  <c r="O182" i="11"/>
  <c r="N182" i="11"/>
  <c r="P184" i="11" l="1"/>
  <c r="O183" i="11"/>
  <c r="N183" i="11"/>
  <c r="N184" i="11" l="1"/>
  <c r="K9" i="11" s="1"/>
  <c r="O184" i="11"/>
  <c r="K13" i="11" s="1"/>
  <c r="P185" i="11"/>
  <c r="P186" i="11" l="1"/>
  <c r="O185" i="11"/>
  <c r="N185" i="11"/>
  <c r="P187" i="11" l="1"/>
  <c r="O186" i="11"/>
  <c r="N186" i="11"/>
  <c r="P188" i="11" l="1"/>
  <c r="O187" i="11"/>
  <c r="N187" i="11"/>
  <c r="N188" i="11" l="1"/>
  <c r="O188" i="11"/>
  <c r="P189" i="11"/>
  <c r="P190" i="11" l="1"/>
  <c r="O189" i="11"/>
  <c r="N189" i="11"/>
  <c r="P191" i="11" l="1"/>
  <c r="O190" i="11"/>
  <c r="N190" i="11"/>
  <c r="P192" i="11" l="1"/>
  <c r="O191" i="11"/>
  <c r="N191" i="11"/>
  <c r="N192" i="11" l="1"/>
  <c r="P193" i="11"/>
  <c r="O192" i="11"/>
  <c r="P194" i="11" l="1"/>
  <c r="O193" i="11"/>
  <c r="N193" i="11"/>
  <c r="P195" i="11" l="1"/>
  <c r="O194" i="11"/>
  <c r="N194" i="11"/>
  <c r="P196" i="11" l="1"/>
  <c r="O195" i="11"/>
  <c r="N195" i="11"/>
  <c r="N196" i="11" l="1"/>
  <c r="P197" i="11"/>
  <c r="O196" i="11"/>
  <c r="P198" i="11" l="1"/>
  <c r="O197" i="11"/>
  <c r="N197" i="11"/>
  <c r="P199" i="11" l="1"/>
  <c r="O198" i="11"/>
  <c r="N198" i="11"/>
  <c r="P200" i="11" l="1"/>
  <c r="O199" i="11"/>
  <c r="N199" i="11"/>
  <c r="N200" i="11" l="1"/>
  <c r="O200" i="11"/>
  <c r="P201" i="11"/>
  <c r="P202" i="11" l="1"/>
  <c r="O201" i="11"/>
  <c r="N201" i="11"/>
  <c r="P203" i="11" l="1"/>
  <c r="O202" i="11"/>
  <c r="N202" i="11"/>
  <c r="P204" i="11" l="1"/>
  <c r="O203" i="11"/>
  <c r="N203" i="11"/>
  <c r="N204" i="11" l="1"/>
  <c r="O204" i="11"/>
  <c r="P205" i="11"/>
  <c r="P206" i="11" l="1"/>
  <c r="O205" i="11"/>
  <c r="N205" i="11"/>
  <c r="P207" i="11" l="1"/>
  <c r="O206" i="11"/>
  <c r="N206" i="11"/>
  <c r="P208" i="11" l="1"/>
  <c r="O207" i="11"/>
  <c r="N207" i="11"/>
  <c r="N208" i="11" l="1"/>
  <c r="P209" i="11"/>
  <c r="O208" i="11"/>
  <c r="P210" i="11" l="1"/>
  <c r="O209" i="11"/>
  <c r="N209" i="11"/>
  <c r="P211" i="11" l="1"/>
  <c r="O210" i="11"/>
  <c r="N210" i="11"/>
  <c r="P212" i="11" l="1"/>
  <c r="O211" i="11"/>
  <c r="N211" i="11"/>
  <c r="N212" i="11" l="1"/>
  <c r="P213" i="11"/>
  <c r="O212" i="11"/>
  <c r="P214" i="11" l="1"/>
  <c r="O213" i="11"/>
  <c r="N213" i="11"/>
  <c r="P215" i="11" l="1"/>
  <c r="O214" i="11"/>
  <c r="N214" i="11"/>
  <c r="P216" i="11" l="1"/>
  <c r="O215" i="11"/>
  <c r="N215" i="11"/>
  <c r="N216" i="11" l="1"/>
  <c r="O216" i="11"/>
  <c r="P217" i="11"/>
  <c r="P218" i="11" l="1"/>
  <c r="O217" i="11"/>
  <c r="N217" i="11"/>
  <c r="P219" i="11" l="1"/>
  <c r="O218" i="11"/>
  <c r="N218" i="11"/>
  <c r="P220" i="11" l="1"/>
  <c r="O219" i="11"/>
  <c r="N219" i="11"/>
  <c r="N220" i="11" l="1"/>
  <c r="O220" i="11"/>
  <c r="P221" i="11"/>
  <c r="P222" i="11" l="1"/>
  <c r="O221" i="11"/>
  <c r="N221" i="11"/>
  <c r="P223" i="11" l="1"/>
  <c r="O222" i="11"/>
  <c r="N222" i="11"/>
  <c r="P224" i="11" l="1"/>
  <c r="O223" i="11"/>
  <c r="N223" i="11"/>
  <c r="N224" i="11" l="1"/>
  <c r="P225" i="11"/>
  <c r="O224" i="11"/>
  <c r="P226" i="11" l="1"/>
  <c r="O225" i="11"/>
  <c r="N225" i="11"/>
  <c r="P227" i="11" l="1"/>
  <c r="O226" i="11"/>
  <c r="N226" i="11"/>
  <c r="P228" i="11" l="1"/>
  <c r="O227" i="11"/>
  <c r="N227" i="11"/>
  <c r="N228" i="11" l="1"/>
  <c r="P229" i="11"/>
  <c r="O228" i="11"/>
  <c r="P230" i="11" l="1"/>
  <c r="O229" i="11"/>
  <c r="N229" i="11"/>
  <c r="P231" i="11" l="1"/>
  <c r="O230" i="11"/>
  <c r="N230" i="11"/>
  <c r="P232" i="11" l="1"/>
  <c r="O231" i="11"/>
  <c r="N231" i="11"/>
  <c r="N232" i="11" l="1"/>
  <c r="O232" i="11"/>
  <c r="P233" i="11"/>
  <c r="P234" i="11" l="1"/>
  <c r="O233" i="11"/>
  <c r="N233" i="11"/>
  <c r="P235" i="11" l="1"/>
  <c r="O234" i="11"/>
  <c r="N234" i="11"/>
  <c r="P236" i="11" l="1"/>
  <c r="O235" i="11"/>
  <c r="N235" i="11"/>
  <c r="N236" i="11" l="1"/>
  <c r="O236" i="11"/>
  <c r="P237" i="11"/>
  <c r="P238" i="11" l="1"/>
  <c r="O237" i="11"/>
  <c r="N237" i="11"/>
  <c r="P239" i="11" l="1"/>
  <c r="O238" i="11"/>
  <c r="N238" i="11"/>
  <c r="P240" i="11" l="1"/>
  <c r="O239" i="11"/>
  <c r="N239" i="11"/>
  <c r="N240" i="11" l="1"/>
  <c r="P241" i="11"/>
  <c r="O240" i="11"/>
  <c r="P242" i="11" l="1"/>
  <c r="O241" i="11"/>
  <c r="N241" i="11"/>
  <c r="P243" i="11" l="1"/>
  <c r="O242" i="11"/>
  <c r="N242" i="11"/>
  <c r="P244" i="11" l="1"/>
  <c r="O243" i="11"/>
  <c r="N243" i="11"/>
  <c r="N244" i="11" l="1"/>
  <c r="P245" i="11"/>
  <c r="O244" i="11"/>
  <c r="P246" i="11" l="1"/>
  <c r="O245" i="11"/>
  <c r="N245" i="11"/>
  <c r="P247" i="11" l="1"/>
  <c r="O246" i="11"/>
  <c r="N246" i="11"/>
  <c r="P248" i="11" l="1"/>
  <c r="O247" i="11"/>
  <c r="N247" i="11"/>
  <c r="N248" i="11" l="1"/>
  <c r="O248" i="11"/>
  <c r="P249" i="11"/>
  <c r="P250" i="11" l="1"/>
  <c r="O249" i="11"/>
  <c r="N249" i="11"/>
  <c r="P251" i="11" l="1"/>
  <c r="O250" i="11"/>
  <c r="N250" i="11"/>
  <c r="P252" i="11" l="1"/>
  <c r="O251" i="11"/>
  <c r="N251" i="11"/>
  <c r="N252" i="11" l="1"/>
  <c r="O252" i="11"/>
  <c r="P253" i="11"/>
  <c r="P254" i="11" l="1"/>
  <c r="O253" i="11"/>
  <c r="N253" i="11"/>
  <c r="O254" i="11" l="1"/>
  <c r="N254" i="11"/>
  <c r="P255" i="11"/>
  <c r="P256" i="11" l="1"/>
  <c r="O255" i="11"/>
  <c r="N255" i="11"/>
  <c r="P257" i="11" l="1"/>
  <c r="O256" i="11"/>
  <c r="N256" i="11"/>
  <c r="O257" i="11" l="1"/>
  <c r="N257" i="11"/>
  <c r="P258" i="11"/>
  <c r="N258" i="11" l="1"/>
  <c r="P259" i="11"/>
  <c r="O258" i="11"/>
  <c r="P260" i="11" l="1"/>
  <c r="O259" i="11"/>
  <c r="N259" i="11"/>
  <c r="P261" i="11" l="1"/>
  <c r="O260" i="11"/>
  <c r="N260" i="11"/>
  <c r="P262" i="11" l="1"/>
  <c r="O261" i="11"/>
  <c r="N261" i="11"/>
  <c r="N262" i="11" l="1"/>
  <c r="O262" i="11"/>
  <c r="P263" i="11"/>
  <c r="P264" i="11" l="1"/>
  <c r="O263" i="11"/>
  <c r="N263" i="11"/>
  <c r="P265" i="11" l="1"/>
  <c r="O264" i="11"/>
  <c r="N264" i="11"/>
  <c r="O265" i="11" l="1"/>
  <c r="N265" i="11"/>
  <c r="P266" i="11"/>
  <c r="N266" i="11" l="1"/>
  <c r="P267" i="11"/>
  <c r="O266" i="11"/>
  <c r="P268" i="11" l="1"/>
  <c r="O267" i="11"/>
  <c r="N267" i="11"/>
  <c r="P269" i="11" l="1"/>
  <c r="O268" i="11"/>
  <c r="N268" i="11"/>
  <c r="P270" i="11" l="1"/>
  <c r="O269" i="11"/>
  <c r="N269" i="11"/>
  <c r="N270" i="11" l="1"/>
  <c r="O270" i="11"/>
  <c r="P271" i="11"/>
  <c r="P272" i="11" l="1"/>
  <c r="O271" i="11"/>
  <c r="N271" i="11"/>
  <c r="P273" i="11" l="1"/>
  <c r="O272" i="11"/>
  <c r="N272" i="11"/>
  <c r="O273" i="11" l="1"/>
  <c r="N273" i="11"/>
  <c r="P274" i="11"/>
  <c r="N274" i="11" l="1"/>
  <c r="P275" i="11"/>
  <c r="O274" i="11"/>
  <c r="P276" i="11" l="1"/>
  <c r="O275" i="11"/>
  <c r="N275" i="11"/>
  <c r="P277" i="11" l="1"/>
  <c r="O276" i="11"/>
  <c r="N276" i="11"/>
  <c r="P278" i="11" l="1"/>
  <c r="O277" i="11"/>
  <c r="N277" i="11"/>
  <c r="N278" i="11" l="1"/>
  <c r="O278" i="11"/>
  <c r="P279" i="11"/>
  <c r="P280" i="11" l="1"/>
  <c r="O279" i="11"/>
  <c r="N279" i="11"/>
  <c r="P281" i="11" l="1"/>
  <c r="O280" i="11"/>
  <c r="N280" i="11"/>
  <c r="O281" i="11" l="1"/>
  <c r="N281" i="11"/>
  <c r="P282" i="11"/>
  <c r="N282" i="11" l="1"/>
  <c r="P283" i="11"/>
  <c r="O282" i="11"/>
  <c r="P284" i="11" l="1"/>
  <c r="O283" i="11"/>
  <c r="N283" i="11"/>
  <c r="P285" i="11" l="1"/>
  <c r="O284" i="11"/>
  <c r="N284" i="11"/>
  <c r="P286" i="11" l="1"/>
  <c r="O285" i="11"/>
  <c r="N285" i="11"/>
  <c r="P287" i="11" l="1"/>
  <c r="N286" i="11"/>
  <c r="O286" i="11"/>
  <c r="P288" i="11" l="1"/>
  <c r="O287" i="11"/>
  <c r="N287" i="11"/>
  <c r="P289" i="11" l="1"/>
  <c r="O288" i="11"/>
  <c r="N288" i="11"/>
  <c r="N289" i="11" l="1"/>
  <c r="P290" i="11"/>
  <c r="O289" i="11"/>
  <c r="P291" i="11" l="1"/>
  <c r="O290" i="11"/>
  <c r="N290" i="11"/>
  <c r="P292" i="11" l="1"/>
  <c r="O291" i="11"/>
  <c r="N291" i="11"/>
  <c r="P293" i="11" l="1"/>
  <c r="O292" i="11"/>
  <c r="N292" i="11"/>
  <c r="N293" i="11" l="1"/>
  <c r="P294" i="11"/>
  <c r="O293" i="11"/>
  <c r="P295" i="11" l="1"/>
  <c r="O294" i="11"/>
  <c r="N294" i="11"/>
  <c r="P296" i="11" l="1"/>
  <c r="O295" i="11"/>
  <c r="N295" i="11"/>
  <c r="P297" i="11" l="1"/>
  <c r="O296" i="11"/>
  <c r="N296" i="11"/>
  <c r="N297" i="11" l="1"/>
  <c r="O297" i="11"/>
  <c r="P298" i="11"/>
  <c r="P299" i="11" l="1"/>
  <c r="O298" i="11"/>
  <c r="N298" i="11"/>
  <c r="P300" i="11" l="1"/>
  <c r="O299" i="11"/>
  <c r="N299" i="11"/>
  <c r="P301" i="11" l="1"/>
  <c r="O300" i="11"/>
  <c r="N300" i="11"/>
  <c r="N301" i="11" l="1"/>
  <c r="P302" i="11"/>
  <c r="O301" i="11"/>
  <c r="P303" i="11" l="1"/>
  <c r="O302" i="11"/>
  <c r="N302" i="11"/>
  <c r="P304" i="11" l="1"/>
  <c r="O303" i="11"/>
  <c r="N303" i="11"/>
  <c r="P305" i="11" l="1"/>
  <c r="O304" i="11"/>
  <c r="N304" i="11"/>
  <c r="N305" i="11" l="1"/>
  <c r="P306" i="11"/>
  <c r="O305" i="11"/>
  <c r="P307" i="11" l="1"/>
  <c r="O306" i="11"/>
  <c r="N306" i="11"/>
  <c r="P308" i="11" l="1"/>
  <c r="O307" i="11"/>
  <c r="N307" i="11"/>
  <c r="P309" i="11" l="1"/>
  <c r="O308" i="11"/>
  <c r="N308" i="11"/>
  <c r="N309" i="11" l="1"/>
  <c r="P310" i="11"/>
  <c r="O309" i="11"/>
  <c r="P311" i="11" l="1"/>
  <c r="O310" i="11"/>
  <c r="N310" i="11"/>
  <c r="P312" i="11" l="1"/>
  <c r="O311" i="11"/>
  <c r="N311" i="11"/>
  <c r="P313" i="11" l="1"/>
  <c r="O312" i="11"/>
  <c r="N312" i="11"/>
  <c r="N313" i="11" l="1"/>
  <c r="O313" i="11"/>
  <c r="P314" i="11"/>
  <c r="P315" i="11" l="1"/>
  <c r="O314" i="11"/>
  <c r="N314" i="11"/>
  <c r="P316" i="11" l="1"/>
  <c r="O315" i="11"/>
  <c r="N315" i="11"/>
  <c r="P317" i="11" l="1"/>
  <c r="O316" i="11"/>
  <c r="N316" i="11"/>
  <c r="N317" i="11" l="1"/>
  <c r="P318" i="11"/>
  <c r="O317" i="11"/>
  <c r="P319" i="11" l="1"/>
  <c r="O318" i="11"/>
  <c r="N318" i="11"/>
  <c r="P320" i="11" l="1"/>
  <c r="O319" i="11"/>
  <c r="N319" i="11"/>
  <c r="P321" i="11" l="1"/>
  <c r="O320" i="11"/>
  <c r="N320" i="11"/>
  <c r="N321" i="11" l="1"/>
  <c r="P322" i="11"/>
  <c r="O321" i="11"/>
  <c r="P323" i="11" l="1"/>
  <c r="O322" i="11"/>
  <c r="N322" i="11"/>
  <c r="P324" i="11" l="1"/>
  <c r="O323" i="11"/>
  <c r="N323" i="11"/>
  <c r="P325" i="11" l="1"/>
  <c r="O324" i="11"/>
  <c r="N324" i="11"/>
  <c r="N325" i="11" l="1"/>
  <c r="P326" i="11"/>
  <c r="O325" i="11"/>
  <c r="P327" i="11" l="1"/>
  <c r="O326" i="11"/>
  <c r="N326" i="11"/>
  <c r="P328" i="11" l="1"/>
  <c r="O327" i="11"/>
  <c r="N327" i="11"/>
  <c r="P329" i="11" l="1"/>
  <c r="O328" i="11"/>
  <c r="N328" i="11"/>
  <c r="N329" i="11" l="1"/>
  <c r="O329" i="11"/>
  <c r="P330" i="11"/>
  <c r="P331" i="11" l="1"/>
  <c r="O330" i="11"/>
  <c r="N330" i="11"/>
  <c r="P332" i="11" l="1"/>
  <c r="O331" i="11"/>
  <c r="N331" i="11"/>
  <c r="P333" i="11" l="1"/>
  <c r="O332" i="11"/>
  <c r="N332" i="11"/>
  <c r="N333" i="11" l="1"/>
  <c r="P334" i="11"/>
  <c r="O333" i="11"/>
  <c r="P335" i="11" l="1"/>
  <c r="O334" i="11"/>
  <c r="N334" i="11"/>
  <c r="P336" i="11" l="1"/>
  <c r="O335" i="11"/>
  <c r="N335" i="11"/>
  <c r="P337" i="11" l="1"/>
  <c r="O336" i="11"/>
  <c r="N336" i="11"/>
  <c r="N337" i="11" l="1"/>
  <c r="P338" i="11"/>
  <c r="O337" i="11"/>
  <c r="P339" i="11" l="1"/>
  <c r="O338" i="11"/>
  <c r="N338" i="11"/>
  <c r="P340" i="11" l="1"/>
  <c r="O339" i="11"/>
  <c r="N339" i="11"/>
  <c r="P341" i="11" l="1"/>
  <c r="O340" i="11"/>
  <c r="N340" i="11"/>
  <c r="N341" i="11" l="1"/>
  <c r="P342" i="11"/>
  <c r="O341" i="11"/>
  <c r="P343" i="11" l="1"/>
  <c r="O342" i="11"/>
  <c r="N342" i="11"/>
  <c r="P344" i="11" l="1"/>
  <c r="O343" i="11"/>
  <c r="N343" i="11"/>
  <c r="P345" i="11" l="1"/>
  <c r="O344" i="11"/>
  <c r="N344" i="11"/>
  <c r="N345" i="11" l="1"/>
  <c r="O345" i="11"/>
  <c r="P346" i="11"/>
  <c r="P347" i="11" l="1"/>
  <c r="O346" i="11"/>
  <c r="N346" i="11"/>
  <c r="P348" i="11" l="1"/>
  <c r="O347" i="11"/>
  <c r="N347" i="11"/>
  <c r="P349" i="11" l="1"/>
  <c r="O348" i="11"/>
  <c r="N348" i="11"/>
  <c r="N349" i="11" l="1"/>
  <c r="P350" i="11"/>
  <c r="O349" i="11"/>
  <c r="P351" i="11" l="1"/>
  <c r="O350" i="11"/>
  <c r="N350" i="11"/>
  <c r="P352" i="11" l="1"/>
  <c r="O351" i="11"/>
  <c r="N351" i="11"/>
  <c r="P353" i="11" l="1"/>
  <c r="O352" i="11"/>
  <c r="N352" i="11"/>
  <c r="N353" i="11" l="1"/>
  <c r="P354" i="11"/>
  <c r="O353" i="11"/>
  <c r="P355" i="11" l="1"/>
  <c r="O354" i="11"/>
  <c r="N354" i="11"/>
  <c r="P356" i="11" l="1"/>
  <c r="O355" i="11"/>
  <c r="N355" i="11"/>
  <c r="P357" i="11" l="1"/>
  <c r="O356" i="11"/>
  <c r="N356" i="11"/>
  <c r="N357" i="11" l="1"/>
  <c r="P358" i="11"/>
  <c r="O357" i="11"/>
  <c r="P359" i="11" l="1"/>
  <c r="O358" i="11"/>
  <c r="N358" i="11"/>
  <c r="P360" i="11" l="1"/>
  <c r="O359" i="11"/>
  <c r="N359" i="11"/>
  <c r="P361" i="11" l="1"/>
  <c r="O360" i="11"/>
  <c r="N360" i="11"/>
  <c r="N361" i="11" l="1"/>
  <c r="O361" i="11"/>
  <c r="P362" i="11"/>
  <c r="P363" i="11" l="1"/>
  <c r="O362" i="11"/>
  <c r="N362" i="11"/>
  <c r="P364" i="11" l="1"/>
  <c r="O363" i="11"/>
  <c r="N363" i="11"/>
  <c r="P365" i="11" l="1"/>
  <c r="O364" i="11"/>
  <c r="N364" i="11"/>
  <c r="N365" i="11" l="1"/>
  <c r="P366" i="11"/>
  <c r="O365" i="11"/>
  <c r="P367" i="11" l="1"/>
  <c r="O366" i="11"/>
  <c r="N366" i="11"/>
  <c r="O367" i="11" l="1"/>
  <c r="N367" i="11"/>
</calcChain>
</file>

<file path=xl/sharedStrings.xml><?xml version="1.0" encoding="utf-8"?>
<sst xmlns="http://schemas.openxmlformats.org/spreadsheetml/2006/main" count="824" uniqueCount="178">
  <si>
    <t>dias</t>
  </si>
  <si>
    <t>Seleccion de Bono</t>
  </si>
  <si>
    <t>Tipo de Bono</t>
  </si>
  <si>
    <t>Fecha</t>
  </si>
  <si>
    <t>Datos Usuario</t>
  </si>
  <si>
    <t>dias_inhabiles_2023</t>
  </si>
  <si>
    <t xml:space="preserve">Total  dias inhabiles </t>
  </si>
  <si>
    <t>n</t>
  </si>
  <si>
    <t>n(sin fines)</t>
  </si>
  <si>
    <t>inhabil</t>
  </si>
  <si>
    <t>QuantLib-Python</t>
  </si>
  <si>
    <t>Reyes</t>
  </si>
  <si>
    <t>Natalicio de Benito Juárez</t>
  </si>
  <si>
    <t>????</t>
  </si>
  <si>
    <t>Fecha inicial</t>
  </si>
  <si>
    <t>Fecha final simple</t>
  </si>
  <si>
    <t>jueves santo</t>
  </si>
  <si>
    <t>viernes santo</t>
  </si>
  <si>
    <t>Dia del trabajador</t>
  </si>
  <si>
    <t>Batalla de Puebla</t>
  </si>
  <si>
    <t>Dias lab Fecha final sin dias_inhabiles</t>
  </si>
  <si>
    <t>vacaciones ???</t>
  </si>
  <si>
    <t>Fecha final con dias lab e inhabiles</t>
  </si>
  <si>
    <t>Fecha incial</t>
  </si>
  <si>
    <t>Fecha final</t>
  </si>
  <si>
    <t>dias simple</t>
  </si>
  <si>
    <t>dias ??</t>
  </si>
  <si>
    <t xml:space="preserve"> Independencia de México</t>
  </si>
  <si>
    <t xml:space="preserve"> Día de Todos los Santos</t>
  </si>
  <si>
    <t>Día de los Muertos</t>
  </si>
  <si>
    <t>Día de la Revolución Mexicana</t>
  </si>
  <si>
    <t>Navidad</t>
  </si>
  <si>
    <t>https://www.dof.gob.mx/nota_detalle.php?codigo=5676679&amp;fecha=10/01/2023#gsc.tab=0</t>
  </si>
  <si>
    <t>Plazo en días del cupón (Nj)</t>
  </si>
  <si>
    <t>Valor nominal del título (VN)</t>
  </si>
  <si>
    <t>Tasa cupon (TC)</t>
  </si>
  <si>
    <t>Fecha actual</t>
  </si>
  <si>
    <t>fecha vencimiento</t>
  </si>
  <si>
    <t>Fecha de emision</t>
  </si>
  <si>
    <t>SERIE</t>
  </si>
  <si>
    <t>GUBERNAMENTAL</t>
  </si>
  <si>
    <t>-</t>
  </si>
  <si>
    <t>TimId</t>
  </si>
  <si>
    <t>TipoValor</t>
  </si>
  <si>
    <t>Emisora</t>
  </si>
  <si>
    <t>Serie</t>
  </si>
  <si>
    <t>PrecioLimpio</t>
  </si>
  <si>
    <t>PrecioSucio</t>
  </si>
  <si>
    <t>InteresesAcumulados</t>
  </si>
  <si>
    <t>CuponActual</t>
  </si>
  <si>
    <t>Sobretasa</t>
  </si>
  <si>
    <t>NombreCompleto</t>
  </si>
  <si>
    <t>Sector</t>
  </si>
  <si>
    <t>MontoEmitido</t>
  </si>
  <si>
    <t>MontoEnCirculacion</t>
  </si>
  <si>
    <t>FechaEmision</t>
  </si>
  <si>
    <t>PlazoEmision</t>
  </si>
  <si>
    <t>FechaVcto</t>
  </si>
  <si>
    <t>ValorNominal</t>
  </si>
  <si>
    <t>MonedaEmision</t>
  </si>
  <si>
    <t>Subyacente</t>
  </si>
  <si>
    <t>RendColocacion</t>
  </si>
  <si>
    <t>StColocacion</t>
  </si>
  <si>
    <t>FrecCpn</t>
  </si>
  <si>
    <t>TasaCupon</t>
  </si>
  <si>
    <t>DiasTranscCpn</t>
  </si>
  <si>
    <t>ReglaCupon</t>
  </si>
  <si>
    <t>CuponesEmision</t>
  </si>
  <si>
    <t>CuponesCobrar</t>
  </si>
  <si>
    <t>HechoDeMkt</t>
  </si>
  <si>
    <t>FechaUh</t>
  </si>
  <si>
    <t>PrecioTeorico</t>
  </si>
  <si>
    <t>PostCompra</t>
  </si>
  <si>
    <t>PostVenta</t>
  </si>
  <si>
    <t>YieldCompra</t>
  </si>
  <si>
    <t>YieldVenta</t>
  </si>
  <si>
    <t>SpreadCompra</t>
  </si>
  <si>
    <t>SpreadVenta</t>
  </si>
  <si>
    <t>Mdys</t>
  </si>
  <si>
    <t>SandP</t>
  </si>
  <si>
    <t>Bursatilidad</t>
  </si>
  <si>
    <t>Liquidez</t>
  </si>
  <si>
    <t>CambioDiario</t>
  </si>
  <si>
    <t>CambioSemanal</t>
  </si>
  <si>
    <t>PrecioMax12M</t>
  </si>
  <si>
    <t>PrecioMin12M</t>
  </si>
  <si>
    <t>Suspension</t>
  </si>
  <si>
    <t>Volatilidad</t>
  </si>
  <si>
    <t>Volatilidad2</t>
  </si>
  <si>
    <t>Duracion</t>
  </si>
  <si>
    <t>DuracionMonet</t>
  </si>
  <si>
    <t>Convexidad</t>
  </si>
  <si>
    <t>Vari</t>
  </si>
  <si>
    <t>DesviacionStand</t>
  </si>
  <si>
    <t>ValorNominalActualizado</t>
  </si>
  <si>
    <t>CalificacionFitch</t>
  </si>
  <si>
    <t>FechaPrecioMaximo</t>
  </si>
  <si>
    <t>FechaPrecioMinimo</t>
  </si>
  <si>
    <t>Sensibilidad</t>
  </si>
  <si>
    <t>DuracionMacaulay</t>
  </si>
  <si>
    <t>TasaDeRendimiento</t>
  </si>
  <si>
    <t>HrRatings</t>
  </si>
  <si>
    <t>DuracionEfectiva</t>
  </si>
  <si>
    <t>Isin</t>
  </si>
  <si>
    <t>CalificacionVerum</t>
  </si>
  <si>
    <t>CalificacionDbrs</t>
  </si>
  <si>
    <t>AuditId</t>
  </si>
  <si>
    <t>AuditFecha</t>
  </si>
  <si>
    <t>AuditUsuario</t>
  </si>
  <si>
    <t>INVEXGF\BIADMIN</t>
  </si>
  <si>
    <t>Serie Bono</t>
  </si>
  <si>
    <t>Precio Limpio</t>
  </si>
  <si>
    <t>Precio Sucio</t>
  </si>
  <si>
    <t>BonosDisponibles</t>
  </si>
  <si>
    <t>BI_CETES</t>
  </si>
  <si>
    <t>M_TASA_FIJA</t>
  </si>
  <si>
    <t>LD_BONDES_D</t>
  </si>
  <si>
    <t>S_UDIBONOS</t>
  </si>
  <si>
    <t>fecha de analisis vector</t>
  </si>
  <si>
    <t>Informacion Vector</t>
  </si>
  <si>
    <t>Valores calculo</t>
  </si>
  <si>
    <t>Rendimiento [%]</t>
  </si>
  <si>
    <t>Sobretasa [%]</t>
  </si>
  <si>
    <t>Para rendimiento [%]</t>
  </si>
  <si>
    <t>Para precio limpio</t>
  </si>
  <si>
    <t>Informacion para regresos</t>
  </si>
  <si>
    <t>Plazo reporto</t>
  </si>
  <si>
    <t>Tasa reporto [%]</t>
  </si>
  <si>
    <t>Precio Sucio (regreso)</t>
  </si>
  <si>
    <t>Rendimiento (regreso [%])</t>
  </si>
  <si>
    <t>NA</t>
  </si>
  <si>
    <t>IM_BPAG28</t>
  </si>
  <si>
    <t>[MPS] Peso Mexicano (MXN)</t>
  </si>
  <si>
    <t>Precio limpio Calculado</t>
  </si>
  <si>
    <t>Rendimiento [%] Calculado</t>
  </si>
  <si>
    <t>IS_BPAG182</t>
  </si>
  <si>
    <t>SECRETARIA DE HACIENDA Y CREDITO PUBLICO</t>
  </si>
  <si>
    <t>BI</t>
  </si>
  <si>
    <t>CETES</t>
  </si>
  <si>
    <t>ML A-1.mx</t>
  </si>
  <si>
    <t>mxA-1+</t>
  </si>
  <si>
    <t>F1+(mex)</t>
  </si>
  <si>
    <t>HR1</t>
  </si>
  <si>
    <t>MXBIGO000UT2</t>
  </si>
  <si>
    <t>MXBIGO000TN7</t>
  </si>
  <si>
    <t>MXBIGO000UV8</t>
  </si>
  <si>
    <t>MXBIGO000TQ0</t>
  </si>
  <si>
    <t>MXBIGO000UY2</t>
  </si>
  <si>
    <t>MXBIGO000TS6</t>
  </si>
  <si>
    <t>MXBIGO000V03</t>
  </si>
  <si>
    <t>MXBIGO000TV0</t>
  </si>
  <si>
    <t>MXBIGO000V11</t>
  </si>
  <si>
    <t>MXBIGO000TY4</t>
  </si>
  <si>
    <t>MXBIGO000V52</t>
  </si>
  <si>
    <t>MXBIGO000US4</t>
  </si>
  <si>
    <t>Hist Insuficiente</t>
  </si>
  <si>
    <t>MXBIGO000V60</t>
  </si>
  <si>
    <t>MXBIGO000U12</t>
  </si>
  <si>
    <t>MXBIGO000UX4</t>
  </si>
  <si>
    <t>MXBIGO000U87</t>
  </si>
  <si>
    <t>MXBIGO000UA2</t>
  </si>
  <si>
    <t>MXBIGO000UE4</t>
  </si>
  <si>
    <t>MXBIGO000V45</t>
  </si>
  <si>
    <t>MXBIGO000UH7</t>
  </si>
  <si>
    <t>MXBIGO000UK1</t>
  </si>
  <si>
    <t>MXBIGO000UO3</t>
  </si>
  <si>
    <t>MXBIGO000UQ8</t>
  </si>
  <si>
    <t>MXBIGO000UW6</t>
  </si>
  <si>
    <t>MXBIGO000UZ9</t>
  </si>
  <si>
    <t>MXBIGO000V37</t>
  </si>
  <si>
    <t>MXBIGO000TL1</t>
  </si>
  <si>
    <t>MXBIGO000TW8</t>
  </si>
  <si>
    <t>MXBIGO000U53</t>
  </si>
  <si>
    <t>MXBIGO000U79</t>
  </si>
  <si>
    <t>MXBIGO000UG9</t>
  </si>
  <si>
    <t>MXBIGO000UM7</t>
  </si>
  <si>
    <t>MXBIGO000UU0</t>
  </si>
  <si>
    <t>MXBIGO000V29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</si>
</sst>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0.000000"/>
    <numFmt numFmtId="166" formatCode="0.0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52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/>
    </xf>
    <xf numFmtId="0" fontId="2" fillId="0" borderId="0" xfId="1"/>
    <xf numFmtId="0" fontId="0" fillId="0" borderId="1" xfId="0" applyBorder="1"/>
    <xf numFmtId="0" fontId="3" fillId="0" borderId="0" xfId="0" applyFont="1"/>
    <xf numFmtId="0" fontId="0" fillId="4" borderId="0" xfId="0" applyFill="1"/>
    <xf numFmtId="0" fontId="1" fillId="3" borderId="1" xfId="0" applyFont="1" applyFill="1" applyBorder="1" applyAlignment="1">
      <alignment horizontal="center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1" fillId="0" borderId="0" xfId="0" applyFont="1" applyAlignment="1">
      <alignment horizontal="center"/>
    </xf>
    <xf numFmtId="0" fontId="1" fillId="0" borderId="0" xfId="0" applyFont="1"/>
    <xf numFmtId="164" fontId="0" fillId="4" borderId="0" xfId="0" applyNumberFormat="1" applyFill="1"/>
    <xf numFmtId="164" fontId="0" fillId="0" borderId="0" xfId="0" applyNumberFormat="1"/>
    <xf numFmtId="0" fontId="1" fillId="6" borderId="0" xfId="0" applyFont="1" applyFill="1"/>
    <xf numFmtId="0" fontId="1" fillId="7" borderId="0" xfId="0" applyFont="1" applyFill="1" applyAlignment="1">
      <alignment horizontal="center"/>
    </xf>
    <xf numFmtId="164" fontId="0" fillId="6" borderId="0" xfId="0" applyNumberFormat="1" applyFill="1"/>
    <xf numFmtId="0" fontId="0" fillId="7" borderId="0" xfId="0" applyFill="1" applyAlignment="1">
      <alignment horizontal="center"/>
    </xf>
    <xf numFmtId="0" fontId="1" fillId="6" borderId="0" xfId="0" applyFont="1" applyFill="1" applyAlignment="1">
      <alignment horizontal="center"/>
    </xf>
    <xf numFmtId="14" fontId="0" fillId="6" borderId="0" xfId="0" applyNumberFormat="1" applyFill="1"/>
    <xf numFmtId="14" fontId="0" fillId="6" borderId="0" xfId="0" applyNumberFormat="1" applyFill="1" applyAlignment="1">
      <alignment horizontal="center"/>
    </xf>
    <xf numFmtId="164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/>
    <xf numFmtId="14" fontId="1" fillId="3" borderId="1" xfId="0" applyNumberFormat="1" applyFont="1" applyFill="1" applyBorder="1" applyAlignment="1">
      <alignment horizontal="center"/>
    </xf>
    <xf numFmtId="0" fontId="1" fillId="5" borderId="1" xfId="0" applyFont="1" applyFill="1" applyBorder="1" applyAlignment="1">
      <alignment horizontal="left"/>
    </xf>
    <xf numFmtId="22" fontId="0" fillId="0" borderId="0" xfId="0" applyNumberFormat="1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8" borderId="11" xfId="0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4" fontId="0" fillId="0" borderId="1" xfId="0" applyNumberFormat="1" applyBorder="1"/>
    <xf numFmtId="0" fontId="0" fillId="9" borderId="1" xfId="0" applyFill="1" applyBorder="1"/>
    <xf numFmtId="14" fontId="0" fillId="9" borderId="1" xfId="0" applyNumberFormat="1" applyFill="1" applyBorder="1"/>
    <xf numFmtId="0" fontId="1" fillId="9" borderId="1" xfId="0" applyFont="1" applyFill="1" applyBorder="1" applyAlignment="1">
      <alignment horizontal="center" vertical="center"/>
    </xf>
    <xf numFmtId="0" fontId="3" fillId="0" borderId="4" xfId="0" applyFont="1" applyBorder="1"/>
    <xf numFmtId="10" fontId="0" fillId="0" borderId="0" xfId="0" applyNumberFormat="1"/>
    <xf numFmtId="0" fontId="0" fillId="10" borderId="1" xfId="0" applyFill="1" applyBorder="1"/>
    <xf numFmtId="165" fontId="0" fillId="0" borderId="1" xfId="0" applyNumberFormat="1" applyBorder="1"/>
    <xf numFmtId="166" fontId="0" fillId="0" borderId="1" xfId="0" applyNumberFormat="1" applyBorder="1"/>
    <xf numFmtId="0" fontId="0" fillId="11" borderId="1" xfId="0" applyFill="1" applyBorder="1"/>
    <xf numFmtId="14" fontId="0" fillId="11" borderId="1" xfId="0" applyNumberFormat="1" applyFill="1" applyBorder="1"/>
    <xf numFmtId="0" fontId="4" fillId="0" borderId="1" xfId="0" applyFont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</cellXfs>
  <cellStyles count="2">
    <cellStyle name="Hipervínculo" xfId="1" builtinId="8"/>
    <cellStyle name="Normal" xfId="0" builtinId="0"/>
  </cellStyles>
  <dxfs count="6">
    <dxf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8" tint="0.59999389629810485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7</xdr:row>
          <xdr:rowOff>180975</xdr:rowOff>
        </xdr:from>
        <xdr:to>
          <xdr:col>1</xdr:col>
          <xdr:colOff>733425</xdr:colOff>
          <xdr:row>8</xdr:row>
          <xdr:rowOff>180975</xdr:rowOff>
        </xdr:to>
        <xdr:sp macro="" textlink="">
          <xdr:nvSpPr>
            <xdr:cNvPr id="15370" name="Button 10" hidden="1">
              <a:extLst>
                <a:ext uri="{63B3BB69-23CF-44E3-9099-C40C66FF867C}">
                  <a14:compatExt spid="_x0000_s15370"/>
                </a:ext>
                <a:ext uri="{FF2B5EF4-FFF2-40B4-BE49-F238E27FC236}">
                  <a16:creationId xmlns:a16="http://schemas.microsoft.com/office/drawing/2014/main" id="{00000000-0008-0000-0000-00000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Cargar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8</xdr:row>
          <xdr:rowOff>19050</xdr:rowOff>
        </xdr:from>
        <xdr:to>
          <xdr:col>4</xdr:col>
          <xdr:colOff>723900</xdr:colOff>
          <xdr:row>9</xdr:row>
          <xdr:rowOff>0</xdr:rowOff>
        </xdr:to>
        <xdr:sp macro="" textlink="">
          <xdr:nvSpPr>
            <xdr:cNvPr id="15377" name="Button 17" hidden="1">
              <a:extLst>
                <a:ext uri="{63B3BB69-23CF-44E3-9099-C40C66FF867C}">
                  <a14:compatExt spid="_x0000_s15377"/>
                </a:ext>
                <a:ext uri="{FF2B5EF4-FFF2-40B4-BE49-F238E27FC236}">
                  <a16:creationId xmlns:a16="http://schemas.microsoft.com/office/drawing/2014/main" id="{00000000-0008-0000-0000-00001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Cargar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485775</xdr:colOff>
          <xdr:row>12</xdr:row>
          <xdr:rowOff>9525</xdr:rowOff>
        </xdr:from>
        <xdr:to>
          <xdr:col>3</xdr:col>
          <xdr:colOff>1304925</xdr:colOff>
          <xdr:row>13</xdr:row>
          <xdr:rowOff>171450</xdr:rowOff>
        </xdr:to>
        <xdr:sp macro="" textlink="">
          <xdr:nvSpPr>
            <xdr:cNvPr id="15380" name="Button 20" hidden="1">
              <a:extLst>
                <a:ext uri="{63B3BB69-23CF-44E3-9099-C40C66FF867C}">
                  <a14:compatExt spid="_x0000_s15380"/>
                </a:ext>
                <a:ext uri="{FF2B5EF4-FFF2-40B4-BE49-F238E27FC236}">
                  <a16:creationId xmlns:a16="http://schemas.microsoft.com/office/drawing/2014/main" id="{00000000-0008-0000-0000-00001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Precio / Rendimiento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504825</xdr:colOff>
          <xdr:row>22</xdr:row>
          <xdr:rowOff>19050</xdr:rowOff>
        </xdr:from>
        <xdr:to>
          <xdr:col>3</xdr:col>
          <xdr:colOff>1257300</xdr:colOff>
          <xdr:row>23</xdr:row>
          <xdr:rowOff>171450</xdr:rowOff>
        </xdr:to>
        <xdr:sp macro="" textlink="">
          <xdr:nvSpPr>
            <xdr:cNvPr id="15381" name="Button 21" hidden="1">
              <a:extLst>
                <a:ext uri="{63B3BB69-23CF-44E3-9099-C40C66FF867C}">
                  <a14:compatExt spid="_x0000_s15381"/>
                </a:ext>
                <a:ext uri="{FF2B5EF4-FFF2-40B4-BE49-F238E27FC236}">
                  <a16:creationId xmlns:a16="http://schemas.microsoft.com/office/drawing/2014/main" id="{00000000-0008-0000-0000-00001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Regresos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E028C2B-772D-46BC-9E10-3031472E2497}" name="Tabla1" displayName="Tabla1" ref="A1:A6" totalsRowShown="0" headerRowDxfId="5" dataDxfId="3" headerRowBorderDxfId="4" tableBorderDxfId="2" totalsRowBorderDxfId="1">
  <autoFilter ref="A1:A6" xr:uid="{CE028C2B-772D-46BC-9E10-3031472E2497}"/>
  <tableColumns count="1">
    <tableColumn id="1" xr3:uid="{C4D647F1-2A75-4921-994C-F26428E42083}" name="BonosDisponible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dof.gob.mx/nota_detalle.php?codigo=5676679&amp;fecha=10/01/2023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5F37B4-4DCA-4FC1-8040-EEFC0419B5CE}">
  <sheetPr codeName="Hoja9"/>
  <dimension ref="B1:L28"/>
  <sheetViews>
    <sheetView tabSelected="1" workbookViewId="0">
      <selection activeCell="F12" sqref="F12"/>
    </sheetView>
  </sheetViews>
  <sheetFormatPr baseColWidth="10" defaultRowHeight="15" x14ac:dyDescent="0.25"/>
  <cols>
    <col min="2" max="2" width="11.42578125" customWidth="1"/>
    <col min="3" max="4" width="27" customWidth="1"/>
    <col min="5" max="5" width="11.42578125" customWidth="1"/>
    <col min="7" max="7" width="27" bestFit="1" customWidth="1"/>
    <col min="9" max="9" width="14.5703125" customWidth="1"/>
  </cols>
  <sheetData>
    <row r="1" spans="2:12" ht="15.75" thickBot="1" x14ac:dyDescent="0.3"/>
    <row r="2" spans="2:12" x14ac:dyDescent="0.25">
      <c r="B2" s="8"/>
      <c r="C2" s="9"/>
      <c r="D2" s="9"/>
      <c r="E2" s="9"/>
      <c r="F2" s="8"/>
      <c r="G2" s="9"/>
      <c r="H2" s="9"/>
      <c r="I2" s="9"/>
      <c r="J2" s="10"/>
    </row>
    <row r="3" spans="2:12" ht="21" x14ac:dyDescent="0.35">
      <c r="B3" s="11"/>
      <c r="C3" s="51" t="s">
        <v>4</v>
      </c>
      <c r="D3" s="51"/>
      <c r="F3" s="11"/>
      <c r="G3" s="49" t="s">
        <v>119</v>
      </c>
      <c r="H3" s="49"/>
      <c r="I3" s="41" t="s">
        <v>120</v>
      </c>
      <c r="J3" s="12"/>
    </row>
    <row r="4" spans="2:12" x14ac:dyDescent="0.25">
      <c r="B4" s="11"/>
      <c r="F4" s="11"/>
      <c r="G4" s="31" t="s">
        <v>39</v>
      </c>
      <c r="H4" s="4">
        <v>231101</v>
      </c>
      <c r="I4" s="39"/>
      <c r="J4" s="12"/>
    </row>
    <row r="5" spans="2:12" x14ac:dyDescent="0.25">
      <c r="B5" s="11"/>
      <c r="C5" s="7" t="s">
        <v>36</v>
      </c>
      <c r="D5" s="30">
        <f ca="1">+TODAY()</f>
        <v>45207</v>
      </c>
      <c r="F5" s="11"/>
      <c r="G5" s="31" t="s">
        <v>34</v>
      </c>
      <c r="H5" s="4">
        <v>10</v>
      </c>
      <c r="I5" s="39">
        <f>+H5</f>
        <v>10</v>
      </c>
      <c r="J5" s="12"/>
    </row>
    <row r="6" spans="2:12" x14ac:dyDescent="0.25">
      <c r="B6" s="11"/>
      <c r="F6" s="11"/>
      <c r="G6" s="31" t="s">
        <v>33</v>
      </c>
      <c r="H6" s="4"/>
      <c r="I6" s="39">
        <f t="shared" ref="I6:I12" si="0">+H6</f>
        <v>0</v>
      </c>
      <c r="J6" s="12"/>
    </row>
    <row r="7" spans="2:12" x14ac:dyDescent="0.25">
      <c r="B7" s="11"/>
      <c r="C7" s="50" t="s">
        <v>1</v>
      </c>
      <c r="D7" s="50"/>
      <c r="F7" s="11"/>
      <c r="G7" s="31" t="s">
        <v>35</v>
      </c>
      <c r="H7" s="4">
        <v>0</v>
      </c>
      <c r="I7" s="39">
        <f t="shared" si="0"/>
        <v>0</v>
      </c>
      <c r="J7" s="12"/>
      <c r="L7" s="5"/>
    </row>
    <row r="8" spans="2:12" x14ac:dyDescent="0.25">
      <c r="B8" s="11"/>
      <c r="C8" s="7" t="s">
        <v>2</v>
      </c>
      <c r="D8" s="7" t="s">
        <v>110</v>
      </c>
      <c r="F8" s="11"/>
      <c r="G8" s="31" t="s">
        <v>37</v>
      </c>
      <c r="H8" s="38">
        <v>45231</v>
      </c>
      <c r="I8" s="40">
        <f t="shared" si="0"/>
        <v>45231</v>
      </c>
      <c r="J8" s="12"/>
    </row>
    <row r="9" spans="2:12" x14ac:dyDescent="0.25">
      <c r="B9" s="11"/>
      <c r="C9" s="4" t="s">
        <v>114</v>
      </c>
      <c r="D9" s="4">
        <v>231101</v>
      </c>
      <c r="F9" s="11"/>
      <c r="G9" s="31" t="s">
        <v>38</v>
      </c>
      <c r="H9" s="38">
        <v>45050</v>
      </c>
      <c r="I9" s="40">
        <f t="shared" si="0"/>
        <v>45050</v>
      </c>
      <c r="J9" s="12"/>
    </row>
    <row r="10" spans="2:12" x14ac:dyDescent="0.25">
      <c r="B10" s="11"/>
      <c r="F10" s="11"/>
      <c r="G10" s="31" t="s">
        <v>118</v>
      </c>
      <c r="H10" s="38">
        <v>45204</v>
      </c>
      <c r="I10" s="48">
        <f>+H10</f>
        <v>45204</v>
      </c>
      <c r="J10" s="12"/>
    </row>
    <row r="11" spans="2:12" ht="15.75" thickBot="1" x14ac:dyDescent="0.3">
      <c r="B11" s="13"/>
      <c r="C11" s="14"/>
      <c r="D11" s="14"/>
      <c r="E11" s="14"/>
      <c r="F11" s="11"/>
      <c r="G11" s="31" t="s">
        <v>111</v>
      </c>
      <c r="H11" s="4">
        <v>9.9173639999999992</v>
      </c>
      <c r="I11" s="47">
        <f>+H11</f>
        <v>9.9173639999999992</v>
      </c>
      <c r="J11" s="12"/>
    </row>
    <row r="12" spans="2:12" x14ac:dyDescent="0.25">
      <c r="B12" s="8"/>
      <c r="C12" s="9"/>
      <c r="D12" s="9"/>
      <c r="E12" s="42"/>
      <c r="F12" s="11"/>
      <c r="G12" s="31" t="s">
        <v>112</v>
      </c>
      <c r="H12" s="4">
        <v>9.9173639999999992</v>
      </c>
      <c r="I12" s="39">
        <f t="shared" si="0"/>
        <v>9.9173639999999992</v>
      </c>
      <c r="J12" s="12"/>
    </row>
    <row r="13" spans="2:12" x14ac:dyDescent="0.25">
      <c r="B13" s="11"/>
      <c r="E13" s="12"/>
      <c r="F13" s="11"/>
      <c r="G13" s="31" t="s">
        <v>121</v>
      </c>
      <c r="H13" s="4">
        <v>11.11</v>
      </c>
      <c r="I13" s="47">
        <f>+H13</f>
        <v>11.11</v>
      </c>
      <c r="J13" s="12"/>
      <c r="K13" s="5"/>
    </row>
    <row r="14" spans="2:12" x14ac:dyDescent="0.25">
      <c r="B14" s="11"/>
      <c r="E14" s="12"/>
      <c r="F14" s="11"/>
      <c r="G14" s="31" t="s">
        <v>122</v>
      </c>
      <c r="H14" s="4">
        <v>0</v>
      </c>
      <c r="I14" s="39">
        <f>+H14</f>
        <v>0</v>
      </c>
      <c r="J14" s="12"/>
    </row>
    <row r="15" spans="2:12" ht="15.75" thickBot="1" x14ac:dyDescent="0.3">
      <c r="B15" s="11"/>
      <c r="E15" s="12"/>
      <c r="F15" s="13"/>
      <c r="G15" s="14"/>
      <c r="H15" s="14"/>
      <c r="I15" s="14"/>
      <c r="J15" s="15"/>
    </row>
    <row r="16" spans="2:12" x14ac:dyDescent="0.25">
      <c r="B16" s="11"/>
      <c r="C16" s="44" t="s">
        <v>133</v>
      </c>
      <c r="D16" s="45">
        <v>9.9173639999999992</v>
      </c>
      <c r="E16" s="12"/>
      <c r="F16" s="8"/>
      <c r="G16" s="9"/>
      <c r="H16" s="9"/>
      <c r="I16" s="9"/>
      <c r="J16" s="10"/>
    </row>
    <row r="17" spans="2:10" x14ac:dyDescent="0.25">
      <c r="B17" s="11"/>
      <c r="C17" s="4" t="s">
        <v>123</v>
      </c>
      <c r="D17" s="46">
        <v>11.11</v>
      </c>
      <c r="E17" s="12"/>
      <c r="F17" s="11"/>
      <c r="J17" s="12"/>
    </row>
    <row r="18" spans="2:10" ht="21" x14ac:dyDescent="0.35">
      <c r="B18" s="11"/>
      <c r="E18" s="12"/>
      <c r="F18" s="11"/>
      <c r="G18" s="49" t="s">
        <v>125</v>
      </c>
      <c r="H18" s="49"/>
      <c r="J18" s="12"/>
    </row>
    <row r="19" spans="2:10" x14ac:dyDescent="0.25">
      <c r="B19" s="11"/>
      <c r="C19" s="44" t="s">
        <v>134</v>
      </c>
      <c r="D19" s="46">
        <v>11.11</v>
      </c>
      <c r="E19" s="12"/>
      <c r="F19" s="11"/>
      <c r="G19" s="31" t="s">
        <v>127</v>
      </c>
      <c r="H19" s="4">
        <v>1.3</v>
      </c>
      <c r="J19" s="12"/>
    </row>
    <row r="20" spans="2:10" x14ac:dyDescent="0.25">
      <c r="B20" s="11"/>
      <c r="C20" s="4" t="s">
        <v>124</v>
      </c>
      <c r="D20" s="45">
        <v>9.9173639999999992</v>
      </c>
      <c r="E20" s="12"/>
      <c r="F20" s="11"/>
      <c r="G20" s="31" t="s">
        <v>126</v>
      </c>
      <c r="H20" s="4">
        <v>3</v>
      </c>
      <c r="J20" s="12"/>
    </row>
    <row r="21" spans="2:10" ht="15.75" thickBot="1" x14ac:dyDescent="0.3">
      <c r="B21" s="13"/>
      <c r="C21" s="14"/>
      <c r="D21" s="14"/>
      <c r="E21" s="15"/>
      <c r="F21" s="13"/>
      <c r="G21" s="14"/>
      <c r="H21" s="14"/>
      <c r="I21" s="14"/>
      <c r="J21" s="15"/>
    </row>
    <row r="22" spans="2:10" x14ac:dyDescent="0.25">
      <c r="B22" s="8"/>
      <c r="C22" s="9"/>
      <c r="D22" s="9"/>
      <c r="E22" s="10"/>
    </row>
    <row r="23" spans="2:10" x14ac:dyDescent="0.25">
      <c r="B23" s="11"/>
      <c r="E23" s="12"/>
    </row>
    <row r="24" spans="2:10" x14ac:dyDescent="0.25">
      <c r="B24" s="11"/>
      <c r="E24" s="12"/>
    </row>
    <row r="25" spans="2:10" x14ac:dyDescent="0.25">
      <c r="B25" s="11"/>
      <c r="E25" s="12"/>
    </row>
    <row r="26" spans="2:10" x14ac:dyDescent="0.25">
      <c r="B26" s="11"/>
      <c r="C26" s="4" t="s">
        <v>128</v>
      </c>
      <c r="D26" s="4">
        <v>9.9184384198975621</v>
      </c>
      <c r="E26" s="12"/>
    </row>
    <row r="27" spans="2:10" x14ac:dyDescent="0.25">
      <c r="B27" s="11"/>
      <c r="C27" s="4" t="s">
        <v>129</v>
      </c>
      <c r="D27" s="4">
        <v>10.964</v>
      </c>
      <c r="E27" s="12"/>
    </row>
    <row r="28" spans="2:10" ht="15.75" thickBot="1" x14ac:dyDescent="0.3">
      <c r="B28" s="13"/>
      <c r="C28" s="14"/>
      <c r="D28" s="14"/>
      <c r="E28" s="15"/>
    </row>
  </sheetData>
  <mergeCells count="4">
    <mergeCell ref="G18:H18"/>
    <mergeCell ref="C7:D7"/>
    <mergeCell ref="C3:D3"/>
    <mergeCell ref="G3:H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70" r:id="rId4" name="Button 10">
              <controlPr defaultSize="0" print="0" autoFill="0" autoPict="0" macro="[0]!cargar_info_bonos">
                <anchor moveWithCells="1" sizeWithCells="1">
                  <from>
                    <xdr:col>1</xdr:col>
                    <xdr:colOff>57150</xdr:colOff>
                    <xdr:row>7</xdr:row>
                    <xdr:rowOff>180975</xdr:rowOff>
                  </from>
                  <to>
                    <xdr:col>1</xdr:col>
                    <xdr:colOff>733425</xdr:colOff>
                    <xdr:row>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7" r:id="rId5" name="Button 17">
              <controlPr defaultSize="0" print="0" autoFill="0" autoPict="0" macro="[0]!cargar_info_bonos_detalle">
                <anchor moveWithCells="1" sizeWithCells="1">
                  <from>
                    <xdr:col>4</xdr:col>
                    <xdr:colOff>47625</xdr:colOff>
                    <xdr:row>8</xdr:row>
                    <xdr:rowOff>19050</xdr:rowOff>
                  </from>
                  <to>
                    <xdr:col>4</xdr:col>
                    <xdr:colOff>723900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0" r:id="rId6" name="Button 20">
              <controlPr defaultSize="0" print="0" autoFill="0" autoPict="0" macro="[0]!Calculo_PrecioyRendimiento">
                <anchor moveWithCells="1" sizeWithCells="1">
                  <from>
                    <xdr:col>2</xdr:col>
                    <xdr:colOff>485775</xdr:colOff>
                    <xdr:row>12</xdr:row>
                    <xdr:rowOff>9525</xdr:rowOff>
                  </from>
                  <to>
                    <xdr:col>3</xdr:col>
                    <xdr:colOff>1304925</xdr:colOff>
                    <xdr:row>13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1" r:id="rId7" name="Button 21">
              <controlPr defaultSize="0" print="0" autoFill="0" autoPict="0" macro="[0]!CalculoRegresos">
                <anchor moveWithCells="1" sizeWithCells="1">
                  <from>
                    <xdr:col>2</xdr:col>
                    <xdr:colOff>504825</xdr:colOff>
                    <xdr:row>22</xdr:row>
                    <xdr:rowOff>19050</xdr:rowOff>
                  </from>
                  <to>
                    <xdr:col>3</xdr:col>
                    <xdr:colOff>1257300</xdr:colOff>
                    <xdr:row>23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96C4A8B-4091-4C60-BC0C-9D59B934C573}">
          <x14:formula1>
            <xm:f>Info_Bonos!$D$2:$D$999</xm:f>
          </x14:formula1>
          <xm:sqref>D9</xm:sqref>
        </x14:dataValidation>
        <x14:dataValidation type="list" allowBlank="1" showInputMessage="1" showErrorMessage="1" xr:uid="{46EAC13A-F8C0-4DBA-B0DB-F9AAF3934085}">
          <x14:formula1>
            <xm:f>Bonos_disponibles!$A$2:$A$6</xm:f>
          </x14:formula1>
          <xm:sqref>C9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5E26A-BA60-4E9A-8A6B-D20EFB04C6C8}">
  <sheetPr codeName="Hoja1"/>
  <dimension ref="A1:BO35"/>
  <sheetViews>
    <sheetView workbookViewId="0">
      <selection sqref="A1:XFD1048576"/>
    </sheetView>
  </sheetViews>
  <sheetFormatPr baseColWidth="10" defaultRowHeight="15" x14ac:dyDescent="0.25"/>
  <cols>
    <col min="1" max="1" width="9" bestFit="1" customWidth="1"/>
    <col min="2" max="2" width="11.5703125" bestFit="1" customWidth="1"/>
    <col min="3" max="3" width="9.140625" bestFit="1" customWidth="1"/>
    <col min="4" max="4" width="7" bestFit="1" customWidth="1"/>
    <col min="5" max="5" width="14.140625" bestFit="1" customWidth="1"/>
    <col min="6" max="6" width="13.28515625" bestFit="1" customWidth="1"/>
    <col min="7" max="7" width="23.42578125" bestFit="1" customWidth="1"/>
    <col min="8" max="8" width="14.7109375" bestFit="1" customWidth="1"/>
    <col min="9" max="9" width="11.28515625" customWidth="1"/>
    <col min="10" max="10" width="42.28515625" customWidth="1"/>
    <col min="11" max="11" width="17" customWidth="1"/>
    <col min="12" max="12" width="16.140625" customWidth="1"/>
    <col min="13" max="13" width="23.5703125" customWidth="1"/>
    <col min="14" max="15" width="14.85546875" customWidth="1"/>
    <col min="16" max="16" width="12" customWidth="1"/>
    <col min="17" max="17" width="16.28515625" customWidth="1"/>
    <col min="18" max="18" width="26.5703125" customWidth="1"/>
    <col min="19" max="19" width="12.28515625" customWidth="1"/>
    <col min="20" max="20" width="18.85546875" customWidth="1"/>
    <col min="21" max="21" width="15.28515625" customWidth="1"/>
    <col min="22" max="22" width="14.140625" customWidth="1"/>
    <col min="23" max="23" width="12.42578125" bestFit="1" customWidth="1"/>
    <col min="24" max="24" width="17.42578125" bestFit="1" customWidth="1"/>
    <col min="25" max="25" width="13.42578125" bestFit="1" customWidth="1"/>
    <col min="26" max="26" width="17.7109375" bestFit="1" customWidth="1"/>
    <col min="27" max="27" width="18.85546875" bestFit="1" customWidth="1"/>
    <col min="28" max="28" width="14.140625" bestFit="1" customWidth="1"/>
    <col min="29" max="29" width="10.85546875" bestFit="1" customWidth="1"/>
    <col min="30" max="30" width="15.5703125" bestFit="1" customWidth="1"/>
    <col min="31" max="31" width="13.85546875" bestFit="1" customWidth="1"/>
    <col min="32" max="32" width="12" bestFit="1" customWidth="1"/>
    <col min="33" max="33" width="14" bestFit="1" customWidth="1"/>
    <col min="34" max="34" width="12.140625" bestFit="1" customWidth="1"/>
    <col min="35" max="35" width="16.28515625" bestFit="1" customWidth="1"/>
    <col min="36" max="36" width="14.28515625" bestFit="1" customWidth="1"/>
    <col min="37" max="37" width="8.140625" bestFit="1" customWidth="1"/>
    <col min="38" max="38" width="7.5703125" bestFit="1" customWidth="1"/>
    <col min="39" max="39" width="13.7109375" bestFit="1" customWidth="1"/>
    <col min="40" max="40" width="9" bestFit="1" customWidth="1"/>
    <col min="41" max="41" width="15" bestFit="1" customWidth="1"/>
    <col min="42" max="42" width="17.42578125" bestFit="1" customWidth="1"/>
    <col min="43" max="43" width="16.28515625" bestFit="1" customWidth="1"/>
    <col min="44" max="44" width="15.7109375" bestFit="1" customWidth="1"/>
    <col min="45" max="45" width="12.28515625" bestFit="1" customWidth="1"/>
    <col min="46" max="46" width="12.7109375" bestFit="1" customWidth="1"/>
    <col min="47" max="47" width="14.140625" bestFit="1" customWidth="1"/>
    <col min="48" max="48" width="12" bestFit="1" customWidth="1"/>
    <col min="49" max="49" width="18.28515625" bestFit="1" customWidth="1"/>
    <col min="50" max="50" width="12.85546875" bestFit="1" customWidth="1"/>
    <col min="51" max="51" width="9.7109375" bestFit="1" customWidth="1"/>
    <col min="52" max="52" width="18.5703125" bestFit="1" customWidth="1"/>
    <col min="53" max="53" width="29.42578125" bestFit="1" customWidth="1"/>
    <col min="54" max="54" width="19" bestFit="1" customWidth="1"/>
    <col min="55" max="55" width="22.140625" bestFit="1" customWidth="1"/>
    <col min="56" max="56" width="21.7109375" bestFit="1" customWidth="1"/>
    <col min="57" max="57" width="13" bestFit="1" customWidth="1"/>
    <col min="58" max="58" width="21" bestFit="1" customWidth="1"/>
    <col min="59" max="59" width="21.5703125" bestFit="1" customWidth="1"/>
    <col min="60" max="60" width="11.5703125" bestFit="1" customWidth="1"/>
    <col min="61" max="61" width="19.42578125" bestFit="1" customWidth="1"/>
    <col min="62" max="62" width="15.5703125" bestFit="1" customWidth="1"/>
    <col min="63" max="63" width="20.42578125" bestFit="1" customWidth="1"/>
    <col min="64" max="64" width="18.5703125" bestFit="1" customWidth="1"/>
  </cols>
  <sheetData>
    <row r="1" spans="1:67" x14ac:dyDescent="0.25">
      <c r="A1" t="s">
        <v>42</v>
      </c>
      <c r="B1" t="s">
        <v>43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54</v>
      </c>
      <c r="N1" t="s">
        <v>55</v>
      </c>
      <c r="O1" t="s">
        <v>56</v>
      </c>
      <c r="P1" t="s">
        <v>57</v>
      </c>
      <c r="Q1" t="s">
        <v>58</v>
      </c>
      <c r="R1" t="s">
        <v>59</v>
      </c>
      <c r="S1" t="s">
        <v>60</v>
      </c>
      <c r="T1" t="s">
        <v>61</v>
      </c>
      <c r="U1" t="s">
        <v>62</v>
      </c>
      <c r="V1" t="s">
        <v>63</v>
      </c>
      <c r="W1" t="s">
        <v>64</v>
      </c>
      <c r="X1" t="s">
        <v>65</v>
      </c>
      <c r="Y1" t="s">
        <v>66</v>
      </c>
      <c r="Z1" t="s">
        <v>67</v>
      </c>
      <c r="AA1" t="s">
        <v>68</v>
      </c>
      <c r="AB1" t="s">
        <v>69</v>
      </c>
      <c r="AC1" t="s">
        <v>70</v>
      </c>
      <c r="AD1" t="s">
        <v>71</v>
      </c>
      <c r="AE1" t="s">
        <v>72</v>
      </c>
      <c r="AF1" t="s">
        <v>73</v>
      </c>
      <c r="AG1" t="s">
        <v>74</v>
      </c>
      <c r="AH1" t="s">
        <v>75</v>
      </c>
      <c r="AI1" t="s">
        <v>76</v>
      </c>
      <c r="AJ1" t="s">
        <v>77</v>
      </c>
      <c r="AK1" t="s">
        <v>78</v>
      </c>
      <c r="AL1" t="s">
        <v>79</v>
      </c>
      <c r="AM1" t="s">
        <v>80</v>
      </c>
      <c r="AN1" t="s">
        <v>81</v>
      </c>
      <c r="AO1" t="s">
        <v>82</v>
      </c>
      <c r="AP1" t="s">
        <v>83</v>
      </c>
      <c r="AQ1" t="s">
        <v>84</v>
      </c>
      <c r="AR1" t="s">
        <v>85</v>
      </c>
      <c r="AS1" t="s">
        <v>86</v>
      </c>
      <c r="AT1" t="s">
        <v>87</v>
      </c>
      <c r="AU1" t="s">
        <v>88</v>
      </c>
      <c r="AV1" t="s">
        <v>89</v>
      </c>
      <c r="AW1" t="s">
        <v>90</v>
      </c>
      <c r="AX1" t="s">
        <v>91</v>
      </c>
      <c r="AY1" t="s">
        <v>92</v>
      </c>
      <c r="AZ1" t="s">
        <v>93</v>
      </c>
      <c r="BA1" t="s">
        <v>94</v>
      </c>
      <c r="BB1" t="s">
        <v>95</v>
      </c>
      <c r="BC1" t="s">
        <v>96</v>
      </c>
      <c r="BD1" t="s">
        <v>97</v>
      </c>
      <c r="BE1" t="s">
        <v>98</v>
      </c>
      <c r="BF1" t="s">
        <v>99</v>
      </c>
      <c r="BG1" t="s">
        <v>100</v>
      </c>
      <c r="BH1" t="s">
        <v>101</v>
      </c>
      <c r="BI1" t="s">
        <v>102</v>
      </c>
      <c r="BJ1" t="s">
        <v>103</v>
      </c>
      <c r="BK1" t="s">
        <v>104</v>
      </c>
      <c r="BL1" t="s">
        <v>105</v>
      </c>
      <c r="BM1" t="s">
        <v>106</v>
      </c>
      <c r="BN1" t="s">
        <v>107</v>
      </c>
      <c r="BO1" t="s">
        <v>108</v>
      </c>
    </row>
    <row r="2" spans="1:67" x14ac:dyDescent="0.25">
      <c r="A2">
        <v>20231005</v>
      </c>
      <c r="B2" t="s">
        <v>137</v>
      </c>
      <c r="C2" t="s">
        <v>138</v>
      </c>
      <c r="D2">
        <v>231012</v>
      </c>
      <c r="E2">
        <v>9.9782499999999992</v>
      </c>
      <c r="F2">
        <v>9.9782499999999992</v>
      </c>
      <c r="G2">
        <v>0</v>
      </c>
      <c r="H2">
        <v>0</v>
      </c>
      <c r="I2">
        <v>0</v>
      </c>
      <c r="J2" t="s">
        <v>136</v>
      </c>
      <c r="K2" t="s">
        <v>40</v>
      </c>
      <c r="L2">
        <v>7500000000</v>
      </c>
      <c r="M2">
        <v>27381700000</v>
      </c>
      <c r="N2" s="1">
        <v>45120</v>
      </c>
      <c r="O2">
        <v>91</v>
      </c>
      <c r="P2" s="1">
        <v>45211</v>
      </c>
      <c r="Q2">
        <v>10</v>
      </c>
      <c r="R2" t="s">
        <v>132</v>
      </c>
      <c r="S2" t="s">
        <v>130</v>
      </c>
      <c r="V2" t="s">
        <v>130</v>
      </c>
      <c r="W2">
        <v>0</v>
      </c>
      <c r="Y2" t="s">
        <v>130</v>
      </c>
      <c r="AB2">
        <v>11.15</v>
      </c>
      <c r="AC2" s="1">
        <v>45202</v>
      </c>
      <c r="AG2">
        <v>11.22</v>
      </c>
      <c r="AH2">
        <v>11.24</v>
      </c>
      <c r="AK2" t="s">
        <v>139</v>
      </c>
      <c r="AL2" t="s">
        <v>140</v>
      </c>
      <c r="AM2" t="s">
        <v>130</v>
      </c>
      <c r="AN2" t="s">
        <v>41</v>
      </c>
      <c r="AO2" s="43">
        <v>2.9999999999999997E-4</v>
      </c>
      <c r="AP2" s="43">
        <v>2.2000000000000001E-3</v>
      </c>
      <c r="AQ2">
        <v>9.9782109999999999</v>
      </c>
      <c r="AR2">
        <v>9.7145010000000003</v>
      </c>
      <c r="AS2" t="s">
        <v>130</v>
      </c>
      <c r="AT2" s="43">
        <v>8.0000000000000004E-4</v>
      </c>
      <c r="AU2" s="43">
        <v>3.5999999999999999E-3</v>
      </c>
      <c r="AV2">
        <v>1.7484438849E-2</v>
      </c>
      <c r="AW2">
        <v>-1.7446410519999999E-3</v>
      </c>
      <c r="AX2">
        <v>5.0525363103000001E-2</v>
      </c>
      <c r="AY2">
        <v>-3.4600000000000001E-4</v>
      </c>
      <c r="AZ2" s="43">
        <v>0</v>
      </c>
      <c r="BA2">
        <v>10</v>
      </c>
      <c r="BB2" t="s">
        <v>141</v>
      </c>
      <c r="BC2" s="1">
        <v>45203</v>
      </c>
      <c r="BD2" s="1">
        <v>45114</v>
      </c>
      <c r="BE2">
        <v>-1.7231812000000001E-4</v>
      </c>
      <c r="BF2">
        <v>7</v>
      </c>
      <c r="BG2">
        <v>11.21</v>
      </c>
      <c r="BH2" t="s">
        <v>142</v>
      </c>
      <c r="BI2">
        <v>1.7384576477000001E-2</v>
      </c>
      <c r="BJ2" t="s">
        <v>143</v>
      </c>
      <c r="BK2" t="s">
        <v>41</v>
      </c>
      <c r="BL2" t="s">
        <v>41</v>
      </c>
      <c r="BM2">
        <v>0</v>
      </c>
      <c r="BN2" s="32">
        <v>45205.219502314816</v>
      </c>
      <c r="BO2" t="s">
        <v>109</v>
      </c>
    </row>
    <row r="3" spans="1:67" x14ac:dyDescent="0.25">
      <c r="A3">
        <v>20231005</v>
      </c>
      <c r="B3" t="s">
        <v>137</v>
      </c>
      <c r="C3" t="s">
        <v>138</v>
      </c>
      <c r="D3">
        <v>231019</v>
      </c>
      <c r="E3">
        <v>9.9567300000000003</v>
      </c>
      <c r="F3">
        <v>9.9567300000000003</v>
      </c>
      <c r="G3">
        <v>0</v>
      </c>
      <c r="H3">
        <v>0</v>
      </c>
      <c r="I3">
        <v>0</v>
      </c>
      <c r="J3" t="s">
        <v>136</v>
      </c>
      <c r="K3" t="s">
        <v>40</v>
      </c>
      <c r="L3">
        <v>5000000000</v>
      </c>
      <c r="M3">
        <v>78371500000</v>
      </c>
      <c r="N3" s="1">
        <v>44854</v>
      </c>
      <c r="O3">
        <v>364</v>
      </c>
      <c r="P3" s="1">
        <v>45218</v>
      </c>
      <c r="Q3">
        <v>10</v>
      </c>
      <c r="R3" t="s">
        <v>132</v>
      </c>
      <c r="S3" t="s">
        <v>130</v>
      </c>
      <c r="V3" t="s">
        <v>130</v>
      </c>
      <c r="W3">
        <v>0</v>
      </c>
      <c r="Y3" t="s">
        <v>130</v>
      </c>
      <c r="AB3">
        <v>11.2</v>
      </c>
      <c r="AC3" s="1">
        <v>45203</v>
      </c>
      <c r="AG3">
        <v>11.18</v>
      </c>
      <c r="AH3">
        <v>11.2</v>
      </c>
      <c r="AK3" t="s">
        <v>139</v>
      </c>
      <c r="AL3" t="s">
        <v>140</v>
      </c>
      <c r="AM3" t="s">
        <v>130</v>
      </c>
      <c r="AN3" t="s">
        <v>41</v>
      </c>
      <c r="AO3" s="43">
        <v>2.9999999999999997E-4</v>
      </c>
      <c r="AP3" s="43">
        <v>2.2000000000000001E-3</v>
      </c>
      <c r="AQ3">
        <v>9.9566719999999993</v>
      </c>
      <c r="AR3">
        <v>9.0022040000000008</v>
      </c>
      <c r="AS3" t="s">
        <v>130</v>
      </c>
      <c r="AT3" s="43">
        <v>8.0000000000000004E-4</v>
      </c>
      <c r="AU3" s="43">
        <v>3.5999999999999999E-3</v>
      </c>
      <c r="AV3">
        <v>3.4979886565E-2</v>
      </c>
      <c r="AW3">
        <v>-3.4828527589999998E-3</v>
      </c>
      <c r="AX3">
        <v>0.37453180302</v>
      </c>
      <c r="AY3">
        <v>-5.2899999999999996E-4</v>
      </c>
      <c r="AZ3" s="43">
        <v>0</v>
      </c>
      <c r="BA3">
        <v>10</v>
      </c>
      <c r="BB3" t="s">
        <v>141</v>
      </c>
      <c r="BC3" s="1">
        <v>45203</v>
      </c>
      <c r="BD3" s="1">
        <v>44854</v>
      </c>
      <c r="BE3">
        <v>-3.31072276E-4</v>
      </c>
      <c r="BF3">
        <v>14</v>
      </c>
      <c r="BG3">
        <v>11.175000000000001</v>
      </c>
      <c r="BH3" t="s">
        <v>142</v>
      </c>
      <c r="BI3">
        <v>3.4785502692000002E-2</v>
      </c>
      <c r="BJ3" t="s">
        <v>144</v>
      </c>
      <c r="BK3" t="s">
        <v>41</v>
      </c>
      <c r="BL3" t="s">
        <v>41</v>
      </c>
      <c r="BM3">
        <v>0</v>
      </c>
      <c r="BN3" s="32">
        <v>45205.219502314816</v>
      </c>
      <c r="BO3" t="s">
        <v>109</v>
      </c>
    </row>
    <row r="4" spans="1:67" x14ac:dyDescent="0.25">
      <c r="A4">
        <v>20231005</v>
      </c>
      <c r="B4" t="s">
        <v>137</v>
      </c>
      <c r="C4" t="s">
        <v>138</v>
      </c>
      <c r="D4">
        <v>231026</v>
      </c>
      <c r="E4">
        <v>9.9354359999999993</v>
      </c>
      <c r="F4">
        <v>9.9354359999999993</v>
      </c>
      <c r="G4">
        <v>0</v>
      </c>
      <c r="H4">
        <v>0</v>
      </c>
      <c r="I4">
        <v>0</v>
      </c>
      <c r="J4" t="s">
        <v>136</v>
      </c>
      <c r="K4" t="s">
        <v>40</v>
      </c>
      <c r="L4">
        <v>7500000000</v>
      </c>
      <c r="M4">
        <v>23338800000</v>
      </c>
      <c r="N4" s="1">
        <v>45134</v>
      </c>
      <c r="O4">
        <v>91</v>
      </c>
      <c r="P4" s="1">
        <v>45225</v>
      </c>
      <c r="Q4">
        <v>10</v>
      </c>
      <c r="R4" t="s">
        <v>132</v>
      </c>
      <c r="S4" t="s">
        <v>130</v>
      </c>
      <c r="V4" t="s">
        <v>130</v>
      </c>
      <c r="W4">
        <v>0</v>
      </c>
      <c r="Y4" t="s">
        <v>130</v>
      </c>
      <c r="AB4">
        <v>11.2</v>
      </c>
      <c r="AC4" s="1">
        <v>45203</v>
      </c>
      <c r="AG4">
        <v>11.19</v>
      </c>
      <c r="AH4">
        <v>11.21</v>
      </c>
      <c r="AK4" t="s">
        <v>139</v>
      </c>
      <c r="AL4" t="s">
        <v>140</v>
      </c>
      <c r="AM4" t="s">
        <v>130</v>
      </c>
      <c r="AN4" t="s">
        <v>41</v>
      </c>
      <c r="AO4" s="43">
        <v>2.0000000000000001E-4</v>
      </c>
      <c r="AP4" s="43">
        <v>2.0999999999999999E-3</v>
      </c>
      <c r="AQ4">
        <v>9.9350909999999999</v>
      </c>
      <c r="AR4">
        <v>9.7111560000000008</v>
      </c>
      <c r="AS4" t="s">
        <v>130</v>
      </c>
      <c r="AT4" s="43">
        <v>8.0000000000000004E-4</v>
      </c>
      <c r="AU4" s="43">
        <v>3.5999999999999999E-3</v>
      </c>
      <c r="AV4">
        <v>5.2486353547999999E-2</v>
      </c>
      <c r="AW4">
        <v>-5.2147481829999997E-3</v>
      </c>
      <c r="AX4">
        <v>0.17798724211</v>
      </c>
      <c r="AY4">
        <v>-8.83E-4</v>
      </c>
      <c r="AZ4" s="43">
        <v>0</v>
      </c>
      <c r="BA4">
        <v>10</v>
      </c>
      <c r="BB4" t="s">
        <v>141</v>
      </c>
      <c r="BC4" s="1">
        <v>45203</v>
      </c>
      <c r="BD4" s="1">
        <v>45128</v>
      </c>
      <c r="BE4">
        <v>-5.1596417300000001E-4</v>
      </c>
      <c r="BF4">
        <v>21</v>
      </c>
      <c r="BG4">
        <v>11.14</v>
      </c>
      <c r="BH4" t="s">
        <v>142</v>
      </c>
      <c r="BI4">
        <v>5.2202693521000001E-2</v>
      </c>
      <c r="BJ4" t="s">
        <v>145</v>
      </c>
      <c r="BK4" t="s">
        <v>41</v>
      </c>
      <c r="BL4" t="s">
        <v>41</v>
      </c>
      <c r="BM4">
        <v>0</v>
      </c>
      <c r="BN4" s="32">
        <v>45205.219502314816</v>
      </c>
      <c r="BO4" t="s">
        <v>109</v>
      </c>
    </row>
    <row r="5" spans="1:67" x14ac:dyDescent="0.25">
      <c r="A5">
        <v>20231005</v>
      </c>
      <c r="B5" t="s">
        <v>137</v>
      </c>
      <c r="C5" t="s">
        <v>138</v>
      </c>
      <c r="D5">
        <v>231101</v>
      </c>
      <c r="E5">
        <v>9.9173639999999992</v>
      </c>
      <c r="F5">
        <v>9.9173639999999992</v>
      </c>
      <c r="G5">
        <v>0</v>
      </c>
      <c r="H5">
        <v>0</v>
      </c>
      <c r="I5">
        <v>0</v>
      </c>
      <c r="J5" t="s">
        <v>136</v>
      </c>
      <c r="K5" t="s">
        <v>40</v>
      </c>
      <c r="L5">
        <v>6000000000</v>
      </c>
      <c r="M5">
        <v>54016800000</v>
      </c>
      <c r="N5" s="1">
        <v>45050</v>
      </c>
      <c r="O5">
        <v>181</v>
      </c>
      <c r="P5" s="1">
        <v>45231</v>
      </c>
      <c r="Q5">
        <v>10</v>
      </c>
      <c r="R5" t="s">
        <v>132</v>
      </c>
      <c r="S5" t="s">
        <v>130</v>
      </c>
      <c r="V5" t="s">
        <v>130</v>
      </c>
      <c r="W5">
        <v>0</v>
      </c>
      <c r="Y5" t="s">
        <v>130</v>
      </c>
      <c r="AB5">
        <v>11.1</v>
      </c>
      <c r="AC5" s="1">
        <v>45204</v>
      </c>
      <c r="AG5">
        <v>11.09</v>
      </c>
      <c r="AH5">
        <v>11.2081</v>
      </c>
      <c r="AK5" t="s">
        <v>139</v>
      </c>
      <c r="AL5" t="s">
        <v>140</v>
      </c>
      <c r="AM5" t="s">
        <v>130</v>
      </c>
      <c r="AN5" t="s">
        <v>41</v>
      </c>
      <c r="AO5" s="43">
        <v>2.0000000000000001E-4</v>
      </c>
      <c r="AP5" s="43">
        <v>2.2000000000000001E-3</v>
      </c>
      <c r="AQ5">
        <v>9.9167000000000005</v>
      </c>
      <c r="AR5">
        <v>9.4432980000000004</v>
      </c>
      <c r="AS5" t="s">
        <v>130</v>
      </c>
      <c r="AT5" s="43">
        <v>8.0000000000000004E-4</v>
      </c>
      <c r="AU5" s="43">
        <v>3.5999999999999999E-3</v>
      </c>
      <c r="AV5">
        <v>6.7500675006999994E-2</v>
      </c>
      <c r="AW5">
        <v>-6.6942873510000001E-3</v>
      </c>
      <c r="AX5">
        <v>0.42195948684000001</v>
      </c>
      <c r="AY5">
        <v>-1.109E-3</v>
      </c>
      <c r="AZ5" s="43">
        <v>0</v>
      </c>
      <c r="BA5">
        <v>10</v>
      </c>
      <c r="BB5" t="s">
        <v>141</v>
      </c>
      <c r="BC5" s="1">
        <v>45203</v>
      </c>
      <c r="BD5" s="1">
        <v>45044</v>
      </c>
      <c r="BE5">
        <v>-6.5390877599999996E-4</v>
      </c>
      <c r="BF5">
        <v>27</v>
      </c>
      <c r="BG5">
        <v>11.11</v>
      </c>
      <c r="BH5" t="s">
        <v>142</v>
      </c>
      <c r="BI5">
        <v>6.7144595823000003E-2</v>
      </c>
      <c r="BJ5" t="s">
        <v>146</v>
      </c>
      <c r="BK5" t="s">
        <v>41</v>
      </c>
      <c r="BL5" t="s">
        <v>41</v>
      </c>
      <c r="BM5">
        <v>0</v>
      </c>
      <c r="BN5" s="32">
        <v>45205.219502314816</v>
      </c>
      <c r="BO5" t="s">
        <v>109</v>
      </c>
    </row>
    <row r="6" spans="1:67" x14ac:dyDescent="0.25">
      <c r="A6">
        <v>20231005</v>
      </c>
      <c r="B6" t="s">
        <v>137</v>
      </c>
      <c r="C6" t="s">
        <v>138</v>
      </c>
      <c r="D6">
        <v>231109</v>
      </c>
      <c r="E6">
        <v>9.8925219999999996</v>
      </c>
      <c r="F6">
        <v>9.8925219999999996</v>
      </c>
      <c r="G6">
        <v>0</v>
      </c>
      <c r="H6">
        <v>0</v>
      </c>
      <c r="I6">
        <v>0</v>
      </c>
      <c r="J6" t="s">
        <v>136</v>
      </c>
      <c r="K6" t="s">
        <v>40</v>
      </c>
      <c r="L6">
        <v>7500000000</v>
      </c>
      <c r="M6">
        <v>11957000000</v>
      </c>
      <c r="N6" s="1">
        <v>45148</v>
      </c>
      <c r="O6">
        <v>91</v>
      </c>
      <c r="P6" s="1">
        <v>45239</v>
      </c>
      <c r="Q6">
        <v>10</v>
      </c>
      <c r="R6" t="s">
        <v>132</v>
      </c>
      <c r="S6" t="s">
        <v>130</v>
      </c>
      <c r="V6" t="s">
        <v>130</v>
      </c>
      <c r="W6">
        <v>0</v>
      </c>
      <c r="Y6" t="s">
        <v>130</v>
      </c>
      <c r="AB6">
        <v>11.35</v>
      </c>
      <c r="AC6" s="1">
        <v>45187</v>
      </c>
      <c r="AG6">
        <v>11.25</v>
      </c>
      <c r="AH6">
        <v>11.2691</v>
      </c>
      <c r="AK6" t="s">
        <v>139</v>
      </c>
      <c r="AL6" t="s">
        <v>140</v>
      </c>
      <c r="AM6" t="s">
        <v>130</v>
      </c>
      <c r="AN6" t="s">
        <v>41</v>
      </c>
      <c r="AO6" s="43">
        <v>2.0000000000000001E-4</v>
      </c>
      <c r="AP6" s="43">
        <v>2.2000000000000001E-3</v>
      </c>
      <c r="AQ6">
        <v>9.8917129999999993</v>
      </c>
      <c r="AR6">
        <v>9.71143</v>
      </c>
      <c r="AS6" t="s">
        <v>130</v>
      </c>
      <c r="AT6" s="43">
        <v>8.0000000000000004E-4</v>
      </c>
      <c r="AU6" s="43">
        <v>3.5999999999999999E-3</v>
      </c>
      <c r="AV6">
        <v>8.7449716413000006E-2</v>
      </c>
      <c r="AW6">
        <v>-8.6509823229999998E-3</v>
      </c>
      <c r="AX6">
        <v>0.33551216833000003</v>
      </c>
      <c r="AY6">
        <v>-1.294E-3</v>
      </c>
      <c r="AZ6" s="43">
        <v>0</v>
      </c>
      <c r="BA6">
        <v>10</v>
      </c>
      <c r="BB6" t="s">
        <v>141</v>
      </c>
      <c r="BC6" s="1">
        <v>45203</v>
      </c>
      <c r="BD6" s="1">
        <v>45142</v>
      </c>
      <c r="BE6">
        <v>-8.5772155600000004E-4</v>
      </c>
      <c r="BF6">
        <v>35</v>
      </c>
      <c r="BG6">
        <v>11.175000000000001</v>
      </c>
      <c r="BH6" t="s">
        <v>142</v>
      </c>
      <c r="BI6">
        <v>8.6995119420000003E-2</v>
      </c>
      <c r="BJ6" t="s">
        <v>147</v>
      </c>
      <c r="BK6" t="s">
        <v>41</v>
      </c>
      <c r="BL6" t="s">
        <v>41</v>
      </c>
      <c r="BM6">
        <v>0</v>
      </c>
      <c r="BN6" s="32">
        <v>45205.219502314816</v>
      </c>
      <c r="BO6" t="s">
        <v>109</v>
      </c>
    </row>
    <row r="7" spans="1:67" x14ac:dyDescent="0.25">
      <c r="A7">
        <v>20231005</v>
      </c>
      <c r="B7" t="s">
        <v>137</v>
      </c>
      <c r="C7" t="s">
        <v>138</v>
      </c>
      <c r="D7">
        <v>231116</v>
      </c>
      <c r="E7">
        <v>9.8707910000000005</v>
      </c>
      <c r="F7">
        <v>9.8707910000000005</v>
      </c>
      <c r="G7">
        <v>0</v>
      </c>
      <c r="H7">
        <v>0</v>
      </c>
      <c r="I7">
        <v>0</v>
      </c>
      <c r="J7" t="s">
        <v>136</v>
      </c>
      <c r="K7" t="s">
        <v>40</v>
      </c>
      <c r="L7">
        <v>8500000000</v>
      </c>
      <c r="M7">
        <v>65777800000</v>
      </c>
      <c r="N7" s="1">
        <v>44882</v>
      </c>
      <c r="O7">
        <v>364</v>
      </c>
      <c r="P7" s="1">
        <v>45246</v>
      </c>
      <c r="Q7">
        <v>10</v>
      </c>
      <c r="R7" t="s">
        <v>132</v>
      </c>
      <c r="S7" t="s">
        <v>130</v>
      </c>
      <c r="V7" t="s">
        <v>130</v>
      </c>
      <c r="W7">
        <v>0</v>
      </c>
      <c r="Y7" t="s">
        <v>130</v>
      </c>
      <c r="AB7">
        <v>11.37</v>
      </c>
      <c r="AC7" s="1">
        <v>45188</v>
      </c>
      <c r="AG7">
        <v>11.29</v>
      </c>
      <c r="AH7">
        <v>11.301299999999999</v>
      </c>
      <c r="AK7" t="s">
        <v>139</v>
      </c>
      <c r="AL7" t="s">
        <v>140</v>
      </c>
      <c r="AM7" t="s">
        <v>130</v>
      </c>
      <c r="AN7" t="s">
        <v>41</v>
      </c>
      <c r="AO7" s="43">
        <v>2.0000000000000001E-4</v>
      </c>
      <c r="AP7" s="43">
        <v>2.3E-3</v>
      </c>
      <c r="AQ7">
        <v>9.8698820000000005</v>
      </c>
      <c r="AR7">
        <v>9.0148050000000008</v>
      </c>
      <c r="AS7" t="s">
        <v>130</v>
      </c>
      <c r="AT7" s="43">
        <v>8.0000000000000004E-4</v>
      </c>
      <c r="AU7" s="43">
        <v>3.5999999999999999E-3</v>
      </c>
      <c r="AV7">
        <v>0.10489720074</v>
      </c>
      <c r="AW7">
        <v>-1.0354183808E-2</v>
      </c>
      <c r="AX7">
        <v>1.2733297031999999</v>
      </c>
      <c r="AY7">
        <v>-1.255E-3</v>
      </c>
      <c r="AZ7" s="43">
        <v>0</v>
      </c>
      <c r="BA7">
        <v>10</v>
      </c>
      <c r="BB7" t="s">
        <v>141</v>
      </c>
      <c r="BC7" s="1">
        <v>45203</v>
      </c>
      <c r="BD7" s="1">
        <v>44880</v>
      </c>
      <c r="BE7">
        <v>-9.8530552199999999E-4</v>
      </c>
      <c r="BF7">
        <v>42</v>
      </c>
      <c r="BG7">
        <v>11.22</v>
      </c>
      <c r="BH7" t="s">
        <v>142</v>
      </c>
      <c r="BI7">
        <v>0.10436025266</v>
      </c>
      <c r="BJ7" t="s">
        <v>148</v>
      </c>
      <c r="BK7" t="s">
        <v>41</v>
      </c>
      <c r="BL7" t="s">
        <v>41</v>
      </c>
      <c r="BM7">
        <v>0</v>
      </c>
      <c r="BN7" s="32">
        <v>45205.219502314816</v>
      </c>
      <c r="BO7" t="s">
        <v>109</v>
      </c>
    </row>
    <row r="8" spans="1:67" x14ac:dyDescent="0.25">
      <c r="A8">
        <v>20231005</v>
      </c>
      <c r="B8" t="s">
        <v>137</v>
      </c>
      <c r="C8" t="s">
        <v>138</v>
      </c>
      <c r="D8">
        <v>231123</v>
      </c>
      <c r="E8">
        <v>9.8496469999999992</v>
      </c>
      <c r="F8">
        <v>9.8496469999999992</v>
      </c>
      <c r="G8">
        <v>0</v>
      </c>
      <c r="H8">
        <v>0</v>
      </c>
      <c r="I8">
        <v>0</v>
      </c>
      <c r="J8" t="s">
        <v>136</v>
      </c>
      <c r="K8" t="s">
        <v>40</v>
      </c>
      <c r="L8">
        <v>7500000000</v>
      </c>
      <c r="M8">
        <v>11670700000</v>
      </c>
      <c r="N8" s="1">
        <v>45162</v>
      </c>
      <c r="O8">
        <v>91</v>
      </c>
      <c r="P8" s="1">
        <v>45253</v>
      </c>
      <c r="Q8">
        <v>10</v>
      </c>
      <c r="R8" t="s">
        <v>132</v>
      </c>
      <c r="S8" t="s">
        <v>130</v>
      </c>
      <c r="V8" t="s">
        <v>130</v>
      </c>
      <c r="W8">
        <v>0</v>
      </c>
      <c r="Y8" t="s">
        <v>130</v>
      </c>
      <c r="AB8">
        <v>11.32</v>
      </c>
      <c r="AC8" s="1">
        <v>45190</v>
      </c>
      <c r="AG8">
        <v>11.28</v>
      </c>
      <c r="AH8">
        <v>11.299099999999999</v>
      </c>
      <c r="AK8" t="s">
        <v>139</v>
      </c>
      <c r="AL8" t="s">
        <v>140</v>
      </c>
      <c r="AM8" t="s">
        <v>130</v>
      </c>
      <c r="AN8" t="s">
        <v>41</v>
      </c>
      <c r="AO8" s="43">
        <v>2.0000000000000001E-4</v>
      </c>
      <c r="AP8" s="43">
        <v>2.3E-3</v>
      </c>
      <c r="AQ8">
        <v>9.8486560000000001</v>
      </c>
      <c r="AR8">
        <v>9.7116769999999999</v>
      </c>
      <c r="AS8" t="s">
        <v>130</v>
      </c>
      <c r="AT8" s="43">
        <v>8.0000000000000004E-4</v>
      </c>
      <c r="AU8" s="43">
        <v>3.5999999999999999E-3</v>
      </c>
      <c r="AV8">
        <v>0.12238556949</v>
      </c>
      <c r="AW8">
        <v>-1.2054545979000001E-2</v>
      </c>
      <c r="AX8">
        <v>0.52310266513000003</v>
      </c>
      <c r="AY8">
        <v>-1.4419999999999999E-3</v>
      </c>
      <c r="AZ8" s="43">
        <v>0</v>
      </c>
      <c r="BA8">
        <v>10</v>
      </c>
      <c r="BB8" t="s">
        <v>141</v>
      </c>
      <c r="BC8" s="1">
        <v>45203</v>
      </c>
      <c r="BD8" s="1">
        <v>45156</v>
      </c>
      <c r="BE8">
        <v>-1.197700562E-3</v>
      </c>
      <c r="BF8">
        <v>49</v>
      </c>
      <c r="BG8">
        <v>11.215</v>
      </c>
      <c r="BH8" t="s">
        <v>142</v>
      </c>
      <c r="BI8">
        <v>0.12177425031</v>
      </c>
      <c r="BJ8" t="s">
        <v>149</v>
      </c>
      <c r="BK8" t="s">
        <v>41</v>
      </c>
      <c r="BL8" t="s">
        <v>41</v>
      </c>
      <c r="BM8">
        <v>0</v>
      </c>
      <c r="BN8" s="32">
        <v>45205.219502314816</v>
      </c>
      <c r="BO8" t="s">
        <v>109</v>
      </c>
    </row>
    <row r="9" spans="1:67" x14ac:dyDescent="0.25">
      <c r="A9">
        <v>20231005</v>
      </c>
      <c r="B9" t="s">
        <v>137</v>
      </c>
      <c r="C9" t="s">
        <v>138</v>
      </c>
      <c r="D9">
        <v>231130</v>
      </c>
      <c r="E9">
        <v>9.8282349999999994</v>
      </c>
      <c r="F9">
        <v>9.8282349999999994</v>
      </c>
      <c r="G9">
        <v>0</v>
      </c>
      <c r="H9">
        <v>0</v>
      </c>
      <c r="I9">
        <v>0</v>
      </c>
      <c r="J9" t="s">
        <v>136</v>
      </c>
      <c r="K9" t="s">
        <v>40</v>
      </c>
      <c r="L9">
        <v>8000000000</v>
      </c>
      <c r="M9">
        <v>37226300000</v>
      </c>
      <c r="N9" s="1">
        <v>45078</v>
      </c>
      <c r="O9">
        <v>182</v>
      </c>
      <c r="P9" s="1">
        <v>45260</v>
      </c>
      <c r="Q9">
        <v>10</v>
      </c>
      <c r="R9" t="s">
        <v>132</v>
      </c>
      <c r="S9" t="s">
        <v>130</v>
      </c>
      <c r="V9" t="s">
        <v>130</v>
      </c>
      <c r="W9">
        <v>0</v>
      </c>
      <c r="Y9" t="s">
        <v>130</v>
      </c>
      <c r="AB9">
        <v>11.27</v>
      </c>
      <c r="AC9" s="1">
        <v>45203</v>
      </c>
      <c r="AG9">
        <v>11.295</v>
      </c>
      <c r="AH9">
        <v>11.311299999999999</v>
      </c>
      <c r="AK9" t="s">
        <v>139</v>
      </c>
      <c r="AL9" t="s">
        <v>140</v>
      </c>
      <c r="AM9" t="s">
        <v>130</v>
      </c>
      <c r="AN9" t="s">
        <v>41</v>
      </c>
      <c r="AO9" s="43">
        <v>2.9999999999999997E-4</v>
      </c>
      <c r="AP9" s="43">
        <v>2.3E-3</v>
      </c>
      <c r="AQ9">
        <v>9.8271840000000008</v>
      </c>
      <c r="AR9">
        <v>9.4417989999999996</v>
      </c>
      <c r="AS9" t="s">
        <v>130</v>
      </c>
      <c r="AT9" s="43">
        <v>8.0000000000000004E-4</v>
      </c>
      <c r="AU9" s="43">
        <v>3.5999999999999999E-3</v>
      </c>
      <c r="AV9">
        <v>0.13984407386</v>
      </c>
      <c r="AW9">
        <v>-1.3744204505E-2</v>
      </c>
      <c r="AX9">
        <v>1.0119924301000001</v>
      </c>
      <c r="AY9">
        <v>-1.557E-3</v>
      </c>
      <c r="AZ9" s="43">
        <v>0</v>
      </c>
      <c r="BA9">
        <v>10</v>
      </c>
      <c r="BB9" t="s">
        <v>141</v>
      </c>
      <c r="BC9" s="1">
        <v>45203</v>
      </c>
      <c r="BD9" s="1">
        <v>45072</v>
      </c>
      <c r="BE9">
        <v>-1.347841117E-3</v>
      </c>
      <c r="BF9">
        <v>56</v>
      </c>
      <c r="BG9">
        <v>11.234999999999999</v>
      </c>
      <c r="BH9" t="s">
        <v>142</v>
      </c>
      <c r="BI9">
        <v>0.13915986952000001</v>
      </c>
      <c r="BJ9" t="s">
        <v>150</v>
      </c>
      <c r="BK9" t="s">
        <v>41</v>
      </c>
      <c r="BL9" t="s">
        <v>41</v>
      </c>
      <c r="BM9">
        <v>0</v>
      </c>
      <c r="BN9" s="32">
        <v>45205.219502314816</v>
      </c>
      <c r="BO9" t="s">
        <v>109</v>
      </c>
    </row>
    <row r="10" spans="1:67" x14ac:dyDescent="0.25">
      <c r="A10">
        <v>20231005</v>
      </c>
      <c r="B10" t="s">
        <v>137</v>
      </c>
      <c r="C10" t="s">
        <v>138</v>
      </c>
      <c r="D10">
        <v>231207</v>
      </c>
      <c r="E10">
        <v>9.8062529999999999</v>
      </c>
      <c r="F10">
        <v>9.8062529999999999</v>
      </c>
      <c r="G10">
        <v>0</v>
      </c>
      <c r="H10">
        <v>0</v>
      </c>
      <c r="I10">
        <v>0</v>
      </c>
      <c r="J10" t="s">
        <v>136</v>
      </c>
      <c r="K10" t="s">
        <v>40</v>
      </c>
      <c r="L10">
        <v>7500000000</v>
      </c>
      <c r="M10">
        <v>9300600000</v>
      </c>
      <c r="N10" s="1">
        <v>45176</v>
      </c>
      <c r="O10">
        <v>91</v>
      </c>
      <c r="P10" s="1">
        <v>45267</v>
      </c>
      <c r="Q10">
        <v>10</v>
      </c>
      <c r="R10" t="s">
        <v>132</v>
      </c>
      <c r="S10" t="s">
        <v>130</v>
      </c>
      <c r="V10" t="s">
        <v>130</v>
      </c>
      <c r="W10">
        <v>0</v>
      </c>
      <c r="Y10" t="s">
        <v>130</v>
      </c>
      <c r="AG10">
        <v>11.345000000000001</v>
      </c>
      <c r="AH10">
        <v>11.356</v>
      </c>
      <c r="AK10" t="s">
        <v>139</v>
      </c>
      <c r="AL10" t="s">
        <v>140</v>
      </c>
      <c r="AM10" t="s">
        <v>130</v>
      </c>
      <c r="AN10" t="s">
        <v>41</v>
      </c>
      <c r="AO10" s="43">
        <v>2.9999999999999997E-4</v>
      </c>
      <c r="AP10" s="43">
        <v>2.3E-3</v>
      </c>
      <c r="AQ10">
        <v>9.8051589999999997</v>
      </c>
      <c r="AR10">
        <v>9.7110610000000008</v>
      </c>
      <c r="AS10" t="s">
        <v>130</v>
      </c>
      <c r="AT10" s="43">
        <v>8.0000000000000004E-4</v>
      </c>
      <c r="AU10" s="43">
        <v>3.5000000000000001E-3</v>
      </c>
      <c r="AV10">
        <v>0.1572468326</v>
      </c>
      <c r="AW10">
        <v>-1.5420022172E-2</v>
      </c>
      <c r="AX10">
        <v>0.74073506269</v>
      </c>
      <c r="AY10">
        <v>-1.593E-3</v>
      </c>
      <c r="AZ10" s="43">
        <v>0</v>
      </c>
      <c r="BA10">
        <v>10</v>
      </c>
      <c r="BB10" t="s">
        <v>141</v>
      </c>
      <c r="BC10" s="1">
        <v>45203</v>
      </c>
      <c r="BD10" s="1">
        <v>45170</v>
      </c>
      <c r="BE10">
        <v>-1.535431573E-3</v>
      </c>
      <c r="BF10">
        <v>63</v>
      </c>
      <c r="BG10">
        <v>11.29</v>
      </c>
      <c r="BH10" t="s">
        <v>142</v>
      </c>
      <c r="BI10">
        <v>0.15648917248999999</v>
      </c>
      <c r="BJ10" t="s">
        <v>151</v>
      </c>
      <c r="BK10" t="s">
        <v>41</v>
      </c>
      <c r="BL10" t="s">
        <v>41</v>
      </c>
      <c r="BM10">
        <v>0</v>
      </c>
      <c r="BN10" s="32">
        <v>45205.219502314816</v>
      </c>
      <c r="BO10" t="s">
        <v>109</v>
      </c>
    </row>
    <row r="11" spans="1:67" x14ac:dyDescent="0.25">
      <c r="A11">
        <v>20231005</v>
      </c>
      <c r="B11" t="s">
        <v>137</v>
      </c>
      <c r="C11" t="s">
        <v>138</v>
      </c>
      <c r="D11">
        <v>231214</v>
      </c>
      <c r="E11">
        <v>9.7848159999999993</v>
      </c>
      <c r="F11">
        <v>9.7848159999999993</v>
      </c>
      <c r="G11">
        <v>0</v>
      </c>
      <c r="H11">
        <v>0</v>
      </c>
      <c r="I11">
        <v>0</v>
      </c>
      <c r="J11" t="s">
        <v>136</v>
      </c>
      <c r="K11" t="s">
        <v>40</v>
      </c>
      <c r="L11">
        <v>8500000000</v>
      </c>
      <c r="M11">
        <v>69037200000</v>
      </c>
      <c r="N11" s="1">
        <v>44910</v>
      </c>
      <c r="O11">
        <v>364</v>
      </c>
      <c r="P11" s="1">
        <v>45274</v>
      </c>
      <c r="Q11">
        <v>10</v>
      </c>
      <c r="R11" t="s">
        <v>132</v>
      </c>
      <c r="S11" t="s">
        <v>130</v>
      </c>
      <c r="V11" t="s">
        <v>130</v>
      </c>
      <c r="W11">
        <v>0</v>
      </c>
      <c r="Y11" t="s">
        <v>130</v>
      </c>
      <c r="AB11">
        <v>11.4</v>
      </c>
      <c r="AC11" s="1">
        <v>45202</v>
      </c>
      <c r="AG11">
        <v>11.36</v>
      </c>
      <c r="AH11">
        <v>11.37</v>
      </c>
      <c r="AK11" t="s">
        <v>139</v>
      </c>
      <c r="AL11" t="s">
        <v>140</v>
      </c>
      <c r="AM11" t="s">
        <v>130</v>
      </c>
      <c r="AN11" t="s">
        <v>41</v>
      </c>
      <c r="AO11" s="43">
        <v>2.9999999999999997E-4</v>
      </c>
      <c r="AP11" s="43">
        <v>2.2000000000000001E-3</v>
      </c>
      <c r="AQ11">
        <v>9.7836990000000004</v>
      </c>
      <c r="AR11">
        <v>9.0169160000000002</v>
      </c>
      <c r="AS11" t="s">
        <v>130</v>
      </c>
      <c r="AT11" s="43">
        <v>8.0000000000000004E-4</v>
      </c>
      <c r="AU11" s="43">
        <v>3.5999999999999999E-3</v>
      </c>
      <c r="AV11">
        <v>0.17468730971999999</v>
      </c>
      <c r="AW11">
        <v>-1.7092831127E-2</v>
      </c>
      <c r="AX11">
        <v>2.2929002554000002</v>
      </c>
      <c r="AY11">
        <v>-1.774E-3</v>
      </c>
      <c r="AZ11" s="43">
        <v>0</v>
      </c>
      <c r="BA11">
        <v>10</v>
      </c>
      <c r="BB11" t="s">
        <v>141</v>
      </c>
      <c r="BC11" s="1">
        <v>45203</v>
      </c>
      <c r="BD11" s="1">
        <v>44904</v>
      </c>
      <c r="BE11">
        <v>-1.632228084E-3</v>
      </c>
      <c r="BF11">
        <v>70</v>
      </c>
      <c r="BG11">
        <v>11.31</v>
      </c>
      <c r="BH11" t="s">
        <v>142</v>
      </c>
      <c r="BI11">
        <v>0.17386379318</v>
      </c>
      <c r="BJ11" t="s">
        <v>152</v>
      </c>
      <c r="BK11" t="s">
        <v>41</v>
      </c>
      <c r="BL11" t="s">
        <v>41</v>
      </c>
      <c r="BM11">
        <v>0</v>
      </c>
      <c r="BN11" s="32">
        <v>45205.219502314816</v>
      </c>
      <c r="BO11" t="s">
        <v>109</v>
      </c>
    </row>
    <row r="12" spans="1:67" x14ac:dyDescent="0.25">
      <c r="A12">
        <v>20231005</v>
      </c>
      <c r="B12" t="s">
        <v>137</v>
      </c>
      <c r="C12" t="s">
        <v>138</v>
      </c>
      <c r="D12">
        <v>231221</v>
      </c>
      <c r="E12">
        <v>9.7636020000000006</v>
      </c>
      <c r="F12">
        <v>9.7636020000000006</v>
      </c>
      <c r="G12">
        <v>0</v>
      </c>
      <c r="H12">
        <v>0</v>
      </c>
      <c r="I12">
        <v>0</v>
      </c>
      <c r="J12" t="s">
        <v>136</v>
      </c>
      <c r="K12" t="s">
        <v>40</v>
      </c>
      <c r="L12">
        <v>75000000000</v>
      </c>
      <c r="M12">
        <v>11703000000</v>
      </c>
      <c r="N12" s="1">
        <v>45190</v>
      </c>
      <c r="O12">
        <v>91</v>
      </c>
      <c r="P12" s="1">
        <v>45281</v>
      </c>
      <c r="Q12">
        <v>10</v>
      </c>
      <c r="R12" t="s">
        <v>132</v>
      </c>
      <c r="S12" t="s">
        <v>130</v>
      </c>
      <c r="V12" t="s">
        <v>130</v>
      </c>
      <c r="W12">
        <v>0</v>
      </c>
      <c r="Y12" t="s">
        <v>130</v>
      </c>
      <c r="AB12">
        <v>11.4</v>
      </c>
      <c r="AC12" s="1">
        <v>45202</v>
      </c>
      <c r="AG12">
        <v>11.365</v>
      </c>
      <c r="AH12">
        <v>11.4</v>
      </c>
      <c r="AK12" t="s">
        <v>139</v>
      </c>
      <c r="AL12" t="s">
        <v>140</v>
      </c>
      <c r="AM12" t="s">
        <v>130</v>
      </c>
      <c r="AN12" t="s">
        <v>41</v>
      </c>
      <c r="AO12" s="43">
        <v>4.0000000000000002E-4</v>
      </c>
      <c r="AP12" s="43">
        <v>2.3E-3</v>
      </c>
      <c r="AQ12">
        <v>9.76248</v>
      </c>
      <c r="AR12">
        <v>9.7116769999999999</v>
      </c>
      <c r="AS12" t="s">
        <v>130</v>
      </c>
      <c r="AT12" s="43">
        <v>8.0000000000000004E-4</v>
      </c>
      <c r="AU12" s="43">
        <v>3.5000000000000001E-3</v>
      </c>
      <c r="AV12">
        <v>0.19213877908999999</v>
      </c>
      <c r="AW12">
        <v>-1.8759664738E-2</v>
      </c>
      <c r="AX12">
        <v>0.98845996627999999</v>
      </c>
      <c r="AY12">
        <v>-1.923E-3</v>
      </c>
      <c r="AZ12" s="43">
        <v>0</v>
      </c>
      <c r="BA12">
        <v>10</v>
      </c>
      <c r="BB12" t="s">
        <v>141</v>
      </c>
      <c r="BC12" s="1">
        <v>45203</v>
      </c>
      <c r="BD12" s="1">
        <v>45184</v>
      </c>
      <c r="BE12">
        <v>-1.8719647929999999E-3</v>
      </c>
      <c r="BF12">
        <v>77</v>
      </c>
      <c r="BG12">
        <v>11.32</v>
      </c>
      <c r="BH12" t="s">
        <v>142</v>
      </c>
      <c r="BI12">
        <v>0.19125457024</v>
      </c>
      <c r="BJ12" t="s">
        <v>153</v>
      </c>
      <c r="BK12" t="s">
        <v>41</v>
      </c>
      <c r="BL12" t="s">
        <v>41</v>
      </c>
      <c r="BM12">
        <v>0</v>
      </c>
      <c r="BN12" s="32">
        <v>45205.219502314816</v>
      </c>
      <c r="BO12" t="s">
        <v>109</v>
      </c>
    </row>
    <row r="13" spans="1:67" x14ac:dyDescent="0.25">
      <c r="A13">
        <v>20231005</v>
      </c>
      <c r="B13" t="s">
        <v>137</v>
      </c>
      <c r="C13" t="s">
        <v>138</v>
      </c>
      <c r="D13">
        <v>231228</v>
      </c>
      <c r="E13">
        <v>9.7425529999999991</v>
      </c>
      <c r="F13">
        <v>9.7425529999999991</v>
      </c>
      <c r="G13">
        <v>0</v>
      </c>
      <c r="H13">
        <v>0</v>
      </c>
      <c r="I13">
        <v>0</v>
      </c>
      <c r="J13" t="s">
        <v>136</v>
      </c>
      <c r="K13" t="s">
        <v>40</v>
      </c>
      <c r="L13">
        <v>10500000000</v>
      </c>
      <c r="M13">
        <v>37010700000</v>
      </c>
      <c r="N13" s="1">
        <v>45106</v>
      </c>
      <c r="O13">
        <v>182</v>
      </c>
      <c r="P13" s="1">
        <v>45288</v>
      </c>
      <c r="Q13">
        <v>10</v>
      </c>
      <c r="R13" t="s">
        <v>132</v>
      </c>
      <c r="S13" t="s">
        <v>130</v>
      </c>
      <c r="V13" t="s">
        <v>130</v>
      </c>
      <c r="W13">
        <v>0</v>
      </c>
      <c r="Y13" t="s">
        <v>130</v>
      </c>
      <c r="AB13">
        <v>11.4</v>
      </c>
      <c r="AC13" s="1">
        <v>45202</v>
      </c>
      <c r="AG13">
        <v>11.36</v>
      </c>
      <c r="AH13">
        <v>11.4</v>
      </c>
      <c r="AK13" t="s">
        <v>139</v>
      </c>
      <c r="AL13" t="s">
        <v>140</v>
      </c>
      <c r="AM13" t="s">
        <v>130</v>
      </c>
      <c r="AN13" t="s">
        <v>41</v>
      </c>
      <c r="AO13" s="43">
        <v>4.0000000000000002E-4</v>
      </c>
      <c r="AP13" s="43">
        <v>2.3E-3</v>
      </c>
      <c r="AQ13">
        <v>9.7415570000000002</v>
      </c>
      <c r="AR13">
        <v>9.4494220000000002</v>
      </c>
      <c r="AS13" t="s">
        <v>130</v>
      </c>
      <c r="AT13" s="43">
        <v>8.0000000000000004E-4</v>
      </c>
      <c r="AU13" s="43">
        <v>3.5000000000000001E-3</v>
      </c>
      <c r="AV13">
        <v>0.20959652669000001</v>
      </c>
      <c r="AW13">
        <v>-2.0420052774000001E-2</v>
      </c>
      <c r="AX13">
        <v>1.7022305520000001</v>
      </c>
      <c r="AY13">
        <v>-1.841E-3</v>
      </c>
      <c r="AZ13" s="43">
        <v>0</v>
      </c>
      <c r="BA13">
        <v>10</v>
      </c>
      <c r="BB13" t="s">
        <v>141</v>
      </c>
      <c r="BC13" s="1">
        <v>45203</v>
      </c>
      <c r="BD13" s="1">
        <v>45100</v>
      </c>
      <c r="BE13">
        <v>-2.010853739E-3</v>
      </c>
      <c r="BF13">
        <v>84</v>
      </c>
      <c r="BG13">
        <v>11.324999999999999</v>
      </c>
      <c r="BH13" t="s">
        <v>142</v>
      </c>
      <c r="BI13">
        <v>0.20865632661</v>
      </c>
      <c r="BJ13" t="s">
        <v>154</v>
      </c>
      <c r="BK13" t="s">
        <v>41</v>
      </c>
      <c r="BL13" t="s">
        <v>41</v>
      </c>
      <c r="BM13">
        <v>0</v>
      </c>
      <c r="BN13" s="32">
        <v>45205.219502314816</v>
      </c>
      <c r="BO13" t="s">
        <v>109</v>
      </c>
    </row>
    <row r="14" spans="1:67" x14ac:dyDescent="0.25">
      <c r="A14">
        <v>20231005</v>
      </c>
      <c r="B14" t="s">
        <v>137</v>
      </c>
      <c r="C14" t="s">
        <v>138</v>
      </c>
      <c r="D14">
        <v>240104</v>
      </c>
      <c r="E14">
        <v>9.7240859999999998</v>
      </c>
      <c r="F14">
        <v>9.7240859999999998</v>
      </c>
      <c r="G14">
        <v>0</v>
      </c>
      <c r="H14">
        <v>0</v>
      </c>
      <c r="I14">
        <v>0</v>
      </c>
      <c r="J14" t="s">
        <v>136</v>
      </c>
      <c r="K14" t="s">
        <v>40</v>
      </c>
      <c r="L14">
        <v>76000000000</v>
      </c>
      <c r="M14">
        <v>8500000000</v>
      </c>
      <c r="N14" s="1">
        <v>45204</v>
      </c>
      <c r="O14">
        <v>91</v>
      </c>
      <c r="P14" s="1">
        <v>45295</v>
      </c>
      <c r="Q14">
        <v>10</v>
      </c>
      <c r="R14" t="s">
        <v>132</v>
      </c>
      <c r="S14" t="s">
        <v>130</v>
      </c>
      <c r="V14" t="s">
        <v>130</v>
      </c>
      <c r="W14">
        <v>0</v>
      </c>
      <c r="Y14" t="s">
        <v>130</v>
      </c>
      <c r="AB14">
        <v>11.27</v>
      </c>
      <c r="AC14" s="1">
        <v>45203</v>
      </c>
      <c r="AG14">
        <v>11.255000000000001</v>
      </c>
      <c r="AH14">
        <v>11.275</v>
      </c>
      <c r="AK14" t="s">
        <v>139</v>
      </c>
      <c r="AL14" t="s">
        <v>140</v>
      </c>
      <c r="AM14" t="s">
        <v>130</v>
      </c>
      <c r="AN14" t="s">
        <v>41</v>
      </c>
      <c r="AO14" s="43">
        <v>4.0000000000000002E-4</v>
      </c>
      <c r="AP14" s="43">
        <v>1</v>
      </c>
      <c r="AQ14">
        <v>9.7231299999999994</v>
      </c>
      <c r="AR14">
        <v>9.7106919999999999</v>
      </c>
      <c r="AS14" t="s">
        <v>130</v>
      </c>
      <c r="AT14" s="43">
        <v>8.0000000000000004E-4</v>
      </c>
      <c r="AU14" t="s">
        <v>155</v>
      </c>
      <c r="AV14">
        <v>0.22726705126999999</v>
      </c>
      <c r="AW14">
        <v>-2.2099643100999999E-2</v>
      </c>
      <c r="AX14">
        <v>1.2663780712999999</v>
      </c>
      <c r="AY14">
        <v>-2.3159999999999999E-3</v>
      </c>
      <c r="AZ14" s="43">
        <v>0</v>
      </c>
      <c r="BA14">
        <v>10</v>
      </c>
      <c r="BB14" t="s">
        <v>141</v>
      </c>
      <c r="BC14" s="1">
        <v>45203</v>
      </c>
      <c r="BD14" s="1">
        <v>45198</v>
      </c>
      <c r="BE14">
        <v>-2.2093516090000002E-3</v>
      </c>
      <c r="BF14">
        <v>91</v>
      </c>
      <c r="BG14">
        <v>11.225</v>
      </c>
      <c r="BH14" t="s">
        <v>142</v>
      </c>
      <c r="BI14">
        <v>0.22629145213999999</v>
      </c>
      <c r="BJ14" t="s">
        <v>156</v>
      </c>
      <c r="BK14" t="s">
        <v>41</v>
      </c>
      <c r="BL14" t="s">
        <v>41</v>
      </c>
      <c r="BM14">
        <v>0</v>
      </c>
      <c r="BN14" s="32">
        <v>45205.219502314816</v>
      </c>
      <c r="BO14" t="s">
        <v>109</v>
      </c>
    </row>
    <row r="15" spans="1:67" x14ac:dyDescent="0.25">
      <c r="A15">
        <v>20231005</v>
      </c>
      <c r="B15" t="s">
        <v>137</v>
      </c>
      <c r="C15" t="s">
        <v>138</v>
      </c>
      <c r="D15">
        <v>240111</v>
      </c>
      <c r="E15">
        <v>9.699776</v>
      </c>
      <c r="F15">
        <v>9.699776</v>
      </c>
      <c r="G15">
        <v>0</v>
      </c>
      <c r="H15">
        <v>0</v>
      </c>
      <c r="I15">
        <v>0</v>
      </c>
      <c r="J15" t="s">
        <v>136</v>
      </c>
      <c r="K15" t="s">
        <v>40</v>
      </c>
      <c r="L15">
        <v>15000000000</v>
      </c>
      <c r="M15">
        <v>76958000000</v>
      </c>
      <c r="N15" s="1">
        <v>44938</v>
      </c>
      <c r="O15">
        <v>364</v>
      </c>
      <c r="P15" s="1">
        <v>45302</v>
      </c>
      <c r="Q15">
        <v>10</v>
      </c>
      <c r="R15" t="s">
        <v>132</v>
      </c>
      <c r="S15" t="s">
        <v>130</v>
      </c>
      <c r="V15" t="s">
        <v>130</v>
      </c>
      <c r="W15">
        <v>0</v>
      </c>
      <c r="Y15" t="s">
        <v>130</v>
      </c>
      <c r="AB15">
        <v>11.375</v>
      </c>
      <c r="AC15" s="1">
        <v>45204</v>
      </c>
      <c r="AG15">
        <v>11.37</v>
      </c>
      <c r="AH15">
        <v>11.3728</v>
      </c>
      <c r="AK15" t="s">
        <v>139</v>
      </c>
      <c r="AL15" t="s">
        <v>140</v>
      </c>
      <c r="AM15" t="s">
        <v>130</v>
      </c>
      <c r="AN15" t="s">
        <v>41</v>
      </c>
      <c r="AO15" s="43">
        <v>4.0000000000000002E-4</v>
      </c>
      <c r="AP15" s="43">
        <v>2.5000000000000001E-3</v>
      </c>
      <c r="AQ15">
        <v>9.699776</v>
      </c>
      <c r="AR15">
        <v>8.9918960000000006</v>
      </c>
      <c r="AS15" t="s">
        <v>130</v>
      </c>
      <c r="AT15" s="43">
        <v>8.0000000000000004E-4</v>
      </c>
      <c r="AU15" s="43">
        <v>3.5000000000000001E-3</v>
      </c>
      <c r="AV15">
        <v>0.24443047699000001</v>
      </c>
      <c r="AW15">
        <v>-2.3709208190000001E-2</v>
      </c>
      <c r="AX15">
        <v>3.4329857858000001</v>
      </c>
      <c r="AY15">
        <v>-2.0669999999999998E-3</v>
      </c>
      <c r="AZ15" s="43">
        <v>0</v>
      </c>
      <c r="BA15">
        <v>10</v>
      </c>
      <c r="BB15" t="s">
        <v>141</v>
      </c>
      <c r="BC15" s="1">
        <v>45203</v>
      </c>
      <c r="BD15" s="1">
        <v>44936</v>
      </c>
      <c r="BE15">
        <v>-2.272655481E-3</v>
      </c>
      <c r="BF15">
        <v>98</v>
      </c>
      <c r="BG15">
        <v>11.37</v>
      </c>
      <c r="BH15" t="s">
        <v>142</v>
      </c>
      <c r="BI15">
        <v>0.24338458776999999</v>
      </c>
      <c r="BJ15" t="s">
        <v>157</v>
      </c>
      <c r="BK15" t="s">
        <v>41</v>
      </c>
      <c r="BL15" t="s">
        <v>41</v>
      </c>
      <c r="BM15">
        <v>0</v>
      </c>
      <c r="BN15" s="32">
        <v>45205.219502314816</v>
      </c>
      <c r="BO15" t="s">
        <v>109</v>
      </c>
    </row>
    <row r="16" spans="1:67" x14ac:dyDescent="0.25">
      <c r="A16">
        <v>20231005</v>
      </c>
      <c r="B16" t="s">
        <v>137</v>
      </c>
      <c r="C16" t="s">
        <v>138</v>
      </c>
      <c r="D16">
        <v>240125</v>
      </c>
      <c r="E16">
        <v>9.6584970000000006</v>
      </c>
      <c r="F16">
        <v>9.6584970000000006</v>
      </c>
      <c r="G16">
        <v>0</v>
      </c>
      <c r="H16">
        <v>0</v>
      </c>
      <c r="I16">
        <v>0</v>
      </c>
      <c r="J16" t="s">
        <v>136</v>
      </c>
      <c r="K16" t="s">
        <v>40</v>
      </c>
      <c r="L16">
        <v>11700000000</v>
      </c>
      <c r="M16">
        <v>28644000000</v>
      </c>
      <c r="N16" s="1">
        <v>45134</v>
      </c>
      <c r="O16">
        <v>182</v>
      </c>
      <c r="P16" s="1">
        <v>45316</v>
      </c>
      <c r="Q16">
        <v>10</v>
      </c>
      <c r="R16" t="s">
        <v>132</v>
      </c>
      <c r="S16" t="s">
        <v>130</v>
      </c>
      <c r="V16" t="s">
        <v>130</v>
      </c>
      <c r="W16">
        <v>0</v>
      </c>
      <c r="Y16" t="s">
        <v>130</v>
      </c>
      <c r="AB16">
        <v>11.5</v>
      </c>
      <c r="AC16" s="1">
        <v>45194</v>
      </c>
      <c r="AG16">
        <v>11.385</v>
      </c>
      <c r="AH16">
        <v>11.435</v>
      </c>
      <c r="AK16" t="s">
        <v>139</v>
      </c>
      <c r="AL16" t="s">
        <v>140</v>
      </c>
      <c r="AM16" t="s">
        <v>130</v>
      </c>
      <c r="AN16" t="s">
        <v>41</v>
      </c>
      <c r="AO16" s="43">
        <v>4.0000000000000002E-4</v>
      </c>
      <c r="AP16" s="43">
        <v>2.5000000000000001E-3</v>
      </c>
      <c r="AQ16">
        <v>9.6576260000000005</v>
      </c>
      <c r="AR16">
        <v>9.4461619999999993</v>
      </c>
      <c r="AS16" t="s">
        <v>130</v>
      </c>
      <c r="AT16" s="43">
        <v>8.0000000000000004E-4</v>
      </c>
      <c r="AU16" s="43">
        <v>3.5000000000000001E-3</v>
      </c>
      <c r="AV16">
        <v>0.27936165861000001</v>
      </c>
      <c r="AW16">
        <v>-2.6982137441E-2</v>
      </c>
      <c r="AX16">
        <v>2.5128545442000001</v>
      </c>
      <c r="AY16">
        <v>-2.0999999999999999E-3</v>
      </c>
      <c r="AZ16" s="43">
        <v>0</v>
      </c>
      <c r="BA16">
        <v>10</v>
      </c>
      <c r="BB16" t="s">
        <v>141</v>
      </c>
      <c r="BC16" s="1">
        <v>45203</v>
      </c>
      <c r="BD16" s="1">
        <v>45128</v>
      </c>
      <c r="BE16">
        <v>-2.6679738590000002E-3</v>
      </c>
      <c r="BF16">
        <v>112</v>
      </c>
      <c r="BG16">
        <v>11.365</v>
      </c>
      <c r="BH16" t="s">
        <v>142</v>
      </c>
      <c r="BI16">
        <v>0.27823419898000001</v>
      </c>
      <c r="BJ16" t="s">
        <v>158</v>
      </c>
      <c r="BK16" t="s">
        <v>41</v>
      </c>
      <c r="BL16" t="s">
        <v>41</v>
      </c>
      <c r="BM16">
        <v>0</v>
      </c>
      <c r="BN16" s="32">
        <v>45205.219502314816</v>
      </c>
      <c r="BO16" t="s">
        <v>109</v>
      </c>
    </row>
    <row r="17" spans="1:67" x14ac:dyDescent="0.25">
      <c r="A17">
        <v>20231005</v>
      </c>
      <c r="B17" t="s">
        <v>137</v>
      </c>
      <c r="C17" t="s">
        <v>138</v>
      </c>
      <c r="D17">
        <v>240208</v>
      </c>
      <c r="E17">
        <v>9.6163089999999993</v>
      </c>
      <c r="F17">
        <v>9.6163089999999993</v>
      </c>
      <c r="G17">
        <v>0</v>
      </c>
      <c r="H17">
        <v>0</v>
      </c>
      <c r="I17">
        <v>0</v>
      </c>
      <c r="J17" t="s">
        <v>136</v>
      </c>
      <c r="K17" t="s">
        <v>40</v>
      </c>
      <c r="L17">
        <v>12500000000</v>
      </c>
      <c r="M17">
        <v>57621800000</v>
      </c>
      <c r="N17" s="1">
        <v>44966</v>
      </c>
      <c r="O17">
        <v>364</v>
      </c>
      <c r="P17" s="1">
        <v>45330</v>
      </c>
      <c r="Q17">
        <v>10</v>
      </c>
      <c r="R17" t="s">
        <v>132</v>
      </c>
      <c r="S17" t="s">
        <v>130</v>
      </c>
      <c r="V17" t="s">
        <v>130</v>
      </c>
      <c r="W17">
        <v>0</v>
      </c>
      <c r="Y17" t="s">
        <v>130</v>
      </c>
      <c r="AB17">
        <v>11.52</v>
      </c>
      <c r="AC17" s="1">
        <v>45201</v>
      </c>
      <c r="AG17">
        <v>11.414999999999999</v>
      </c>
      <c r="AH17">
        <v>11.465</v>
      </c>
      <c r="AK17" t="s">
        <v>139</v>
      </c>
      <c r="AL17" t="s">
        <v>140</v>
      </c>
      <c r="AM17" t="s">
        <v>130</v>
      </c>
      <c r="AN17" t="s">
        <v>41</v>
      </c>
      <c r="AO17" s="43">
        <v>4.0000000000000002E-4</v>
      </c>
      <c r="AP17" s="43">
        <v>2.5000000000000001E-3</v>
      </c>
      <c r="AQ17">
        <v>9.6155000000000008</v>
      </c>
      <c r="AR17">
        <v>8.9418900000000008</v>
      </c>
      <c r="AS17" t="s">
        <v>130</v>
      </c>
      <c r="AT17" s="43">
        <v>8.0000000000000004E-4</v>
      </c>
      <c r="AU17" s="43">
        <v>3.5000000000000001E-3</v>
      </c>
      <c r="AV17">
        <v>0.31418312388000003</v>
      </c>
      <c r="AW17">
        <v>-3.0212820836E-2</v>
      </c>
      <c r="AX17">
        <v>4.6935981207999999</v>
      </c>
      <c r="AY17">
        <v>-2.0790000000000001E-3</v>
      </c>
      <c r="AZ17" s="43">
        <v>0</v>
      </c>
      <c r="BA17">
        <v>10</v>
      </c>
      <c r="BB17" t="s">
        <v>141</v>
      </c>
      <c r="BC17" s="1">
        <v>45203</v>
      </c>
      <c r="BD17" s="1">
        <v>44971</v>
      </c>
      <c r="BE17">
        <v>-2.9071513330000001E-3</v>
      </c>
      <c r="BF17">
        <v>126</v>
      </c>
      <c r="BG17">
        <v>11.4</v>
      </c>
      <c r="BH17" t="s">
        <v>142</v>
      </c>
      <c r="BI17">
        <v>0.31298295413999999</v>
      </c>
      <c r="BJ17" t="s">
        <v>159</v>
      </c>
      <c r="BK17" t="s">
        <v>41</v>
      </c>
      <c r="BL17" t="s">
        <v>41</v>
      </c>
      <c r="BM17">
        <v>0</v>
      </c>
      <c r="BN17" s="32">
        <v>45205.219502314816</v>
      </c>
      <c r="BO17" t="s">
        <v>109</v>
      </c>
    </row>
    <row r="18" spans="1:67" x14ac:dyDescent="0.25">
      <c r="A18">
        <v>20231005</v>
      </c>
      <c r="B18" t="s">
        <v>137</v>
      </c>
      <c r="C18" t="s">
        <v>138</v>
      </c>
      <c r="D18">
        <v>240222</v>
      </c>
      <c r="E18">
        <v>9.5749519999999997</v>
      </c>
      <c r="F18">
        <v>9.5749519999999997</v>
      </c>
      <c r="G18">
        <v>0</v>
      </c>
      <c r="H18">
        <v>0</v>
      </c>
      <c r="I18">
        <v>0</v>
      </c>
      <c r="J18" t="s">
        <v>136</v>
      </c>
      <c r="K18" t="s">
        <v>40</v>
      </c>
      <c r="L18">
        <v>12700000000</v>
      </c>
      <c r="M18">
        <v>33772400000</v>
      </c>
      <c r="N18" s="1">
        <v>45162</v>
      </c>
      <c r="O18">
        <v>182</v>
      </c>
      <c r="P18" s="1">
        <v>45344</v>
      </c>
      <c r="Q18">
        <v>10</v>
      </c>
      <c r="R18" t="s">
        <v>132</v>
      </c>
      <c r="S18" t="s">
        <v>130</v>
      </c>
      <c r="V18" t="s">
        <v>130</v>
      </c>
      <c r="W18">
        <v>0</v>
      </c>
      <c r="Y18" t="s">
        <v>130</v>
      </c>
      <c r="AB18">
        <v>11.45</v>
      </c>
      <c r="AC18" s="1">
        <v>45204</v>
      </c>
      <c r="AG18">
        <v>11.425000000000001</v>
      </c>
      <c r="AH18">
        <v>11.475</v>
      </c>
      <c r="AK18" t="s">
        <v>139</v>
      </c>
      <c r="AL18" t="s">
        <v>140</v>
      </c>
      <c r="AM18" t="s">
        <v>130</v>
      </c>
      <c r="AN18" t="s">
        <v>41</v>
      </c>
      <c r="AO18" s="43">
        <v>5.0000000000000001E-4</v>
      </c>
      <c r="AP18" s="43">
        <v>2.5999999999999999E-3</v>
      </c>
      <c r="AQ18">
        <v>9.5742390000000004</v>
      </c>
      <c r="AR18">
        <v>9.4442950000000003</v>
      </c>
      <c r="AS18" t="s">
        <v>130</v>
      </c>
      <c r="AT18" s="43">
        <v>8.0000000000000004E-4</v>
      </c>
      <c r="AU18" s="43">
        <v>3.5000000000000001E-3</v>
      </c>
      <c r="AV18">
        <v>0.34904536093999999</v>
      </c>
      <c r="AW18">
        <v>-3.3420925508999999E-2</v>
      </c>
      <c r="AX18">
        <v>3.4437713252000002</v>
      </c>
      <c r="AY18">
        <v>-2.3159999999999999E-3</v>
      </c>
      <c r="AZ18" s="43">
        <v>0</v>
      </c>
      <c r="BA18">
        <v>10</v>
      </c>
      <c r="BB18" t="s">
        <v>141</v>
      </c>
      <c r="BC18" s="1">
        <v>45203</v>
      </c>
      <c r="BD18" s="1">
        <v>45156</v>
      </c>
      <c r="BE18">
        <v>-3.3182650430000002E-3</v>
      </c>
      <c r="BF18">
        <v>140</v>
      </c>
      <c r="BG18">
        <v>11.414999999999999</v>
      </c>
      <c r="BH18" t="s">
        <v>142</v>
      </c>
      <c r="BI18">
        <v>0.34779205950999997</v>
      </c>
      <c r="BJ18" t="s">
        <v>160</v>
      </c>
      <c r="BK18" t="s">
        <v>41</v>
      </c>
      <c r="BL18" t="s">
        <v>41</v>
      </c>
      <c r="BM18">
        <v>0</v>
      </c>
      <c r="BN18" s="32">
        <v>45205.219502314816</v>
      </c>
      <c r="BO18" t="s">
        <v>109</v>
      </c>
    </row>
    <row r="19" spans="1:67" x14ac:dyDescent="0.25">
      <c r="A19">
        <v>20231005</v>
      </c>
      <c r="B19" t="s">
        <v>137</v>
      </c>
      <c r="C19" t="s">
        <v>138</v>
      </c>
      <c r="D19">
        <v>240307</v>
      </c>
      <c r="E19">
        <v>9.5317050000000005</v>
      </c>
      <c r="F19">
        <v>9.5317050000000005</v>
      </c>
      <c r="G19">
        <v>0</v>
      </c>
      <c r="H19">
        <v>0</v>
      </c>
      <c r="I19">
        <v>0</v>
      </c>
      <c r="J19" t="s">
        <v>136</v>
      </c>
      <c r="K19" t="s">
        <v>40</v>
      </c>
      <c r="L19">
        <v>5000000000</v>
      </c>
      <c r="M19">
        <v>62875200000</v>
      </c>
      <c r="N19" s="1">
        <v>44994</v>
      </c>
      <c r="O19">
        <v>364</v>
      </c>
      <c r="P19" s="1">
        <v>45358</v>
      </c>
      <c r="Q19">
        <v>10</v>
      </c>
      <c r="R19" t="s">
        <v>132</v>
      </c>
      <c r="S19" t="s">
        <v>130</v>
      </c>
      <c r="V19" t="s">
        <v>130</v>
      </c>
      <c r="W19">
        <v>0</v>
      </c>
      <c r="Y19" t="s">
        <v>130</v>
      </c>
      <c r="AB19">
        <v>11.5</v>
      </c>
      <c r="AC19" s="1">
        <v>45203</v>
      </c>
      <c r="AG19">
        <v>11.492599999999999</v>
      </c>
      <c r="AH19">
        <v>11.53</v>
      </c>
      <c r="AK19" t="s">
        <v>139</v>
      </c>
      <c r="AL19" t="s">
        <v>140</v>
      </c>
      <c r="AM19" t="s">
        <v>130</v>
      </c>
      <c r="AN19" t="s">
        <v>41</v>
      </c>
      <c r="AO19" s="43">
        <v>5.0000000000000001E-4</v>
      </c>
      <c r="AP19" s="43">
        <v>2.5000000000000001E-3</v>
      </c>
      <c r="AQ19">
        <v>9.5311219999999999</v>
      </c>
      <c r="AR19">
        <v>8.9034709999999997</v>
      </c>
      <c r="AS19" t="s">
        <v>130</v>
      </c>
      <c r="AT19" s="43">
        <v>8.0000000000000004E-4</v>
      </c>
      <c r="AU19" s="43">
        <v>3.3999999999999998E-3</v>
      </c>
      <c r="AV19">
        <v>0.38370881981999999</v>
      </c>
      <c r="AW19">
        <v>-3.6573991615000002E-2</v>
      </c>
      <c r="AX19">
        <v>6.0742329678000004</v>
      </c>
      <c r="AY19">
        <v>-2.8500000000000001E-3</v>
      </c>
      <c r="AZ19" s="43">
        <v>0</v>
      </c>
      <c r="BA19">
        <v>10</v>
      </c>
      <c r="BB19" t="s">
        <v>141</v>
      </c>
      <c r="BC19" s="1">
        <v>45203</v>
      </c>
      <c r="BD19" s="1">
        <v>44988</v>
      </c>
      <c r="BE19">
        <v>-3.5333765499999999E-3</v>
      </c>
      <c r="BF19">
        <v>154</v>
      </c>
      <c r="BG19">
        <v>11.484999999999999</v>
      </c>
      <c r="BH19" t="s">
        <v>142</v>
      </c>
      <c r="BI19">
        <v>0.38240721296000002</v>
      </c>
      <c r="BJ19" t="s">
        <v>161</v>
      </c>
      <c r="BK19" t="s">
        <v>41</v>
      </c>
      <c r="BL19" t="s">
        <v>41</v>
      </c>
      <c r="BM19">
        <v>0</v>
      </c>
      <c r="BN19" s="32">
        <v>45205.219502314816</v>
      </c>
      <c r="BO19" t="s">
        <v>109</v>
      </c>
    </row>
    <row r="20" spans="1:67" x14ac:dyDescent="0.25">
      <c r="A20">
        <v>20231005</v>
      </c>
      <c r="B20" t="s">
        <v>137</v>
      </c>
      <c r="C20" t="s">
        <v>138</v>
      </c>
      <c r="D20">
        <v>240321</v>
      </c>
      <c r="E20">
        <v>9.4894069999999999</v>
      </c>
      <c r="F20">
        <v>9.4894069999999999</v>
      </c>
      <c r="G20">
        <v>0</v>
      </c>
      <c r="H20">
        <v>0</v>
      </c>
      <c r="I20">
        <v>0</v>
      </c>
      <c r="J20" t="s">
        <v>136</v>
      </c>
      <c r="K20" t="s">
        <v>40</v>
      </c>
      <c r="L20">
        <v>137000000000</v>
      </c>
      <c r="M20">
        <v>33772400000</v>
      </c>
      <c r="N20" s="1">
        <v>45190</v>
      </c>
      <c r="O20">
        <v>182</v>
      </c>
      <c r="P20" s="1">
        <v>45372</v>
      </c>
      <c r="Q20">
        <v>10</v>
      </c>
      <c r="R20" t="s">
        <v>132</v>
      </c>
      <c r="S20" t="s">
        <v>130</v>
      </c>
      <c r="V20" t="s">
        <v>130</v>
      </c>
      <c r="W20">
        <v>0</v>
      </c>
      <c r="Y20" t="s">
        <v>130</v>
      </c>
      <c r="AB20">
        <v>11.53</v>
      </c>
      <c r="AC20" s="1">
        <v>45204</v>
      </c>
      <c r="AG20">
        <v>11.536099999999999</v>
      </c>
      <c r="AH20">
        <v>11.57</v>
      </c>
      <c r="AK20" t="s">
        <v>139</v>
      </c>
      <c r="AL20" t="s">
        <v>140</v>
      </c>
      <c r="AM20" t="s">
        <v>130</v>
      </c>
      <c r="AN20" t="s">
        <v>41</v>
      </c>
      <c r="AO20" s="43">
        <v>5.9999999999999995E-4</v>
      </c>
      <c r="AP20" s="43">
        <v>2.5000000000000001E-3</v>
      </c>
      <c r="AQ20">
        <v>9.4889860000000006</v>
      </c>
      <c r="AR20">
        <v>9.4399429999999995</v>
      </c>
      <c r="AS20" t="s">
        <v>130</v>
      </c>
      <c r="AT20" s="43">
        <v>8.0000000000000004E-4</v>
      </c>
      <c r="AU20" s="43">
        <v>3.3E-3</v>
      </c>
      <c r="AV20">
        <v>0.41842254699999998</v>
      </c>
      <c r="AW20">
        <v>-3.9705817038000003E-2</v>
      </c>
      <c r="AX20">
        <v>4.4947828918999999</v>
      </c>
      <c r="AY20">
        <v>-3.431E-3</v>
      </c>
      <c r="AZ20" s="43">
        <v>0</v>
      </c>
      <c r="BA20">
        <v>10</v>
      </c>
      <c r="BB20" t="s">
        <v>141</v>
      </c>
      <c r="BC20" s="1">
        <v>45203</v>
      </c>
      <c r="BD20" s="1">
        <v>45184</v>
      </c>
      <c r="BE20">
        <v>-3.9594863249999999E-3</v>
      </c>
      <c r="BF20">
        <v>168</v>
      </c>
      <c r="BG20">
        <v>11.53</v>
      </c>
      <c r="BH20" t="s">
        <v>142</v>
      </c>
      <c r="BI20">
        <v>0.4170934241</v>
      </c>
      <c r="BJ20" t="s">
        <v>162</v>
      </c>
      <c r="BK20" t="s">
        <v>41</v>
      </c>
      <c r="BL20" t="s">
        <v>41</v>
      </c>
      <c r="BM20">
        <v>0</v>
      </c>
      <c r="BN20" s="32">
        <v>45205.219502314816</v>
      </c>
      <c r="BO20" t="s">
        <v>109</v>
      </c>
    </row>
    <row r="21" spans="1:67" x14ac:dyDescent="0.25">
      <c r="A21">
        <v>20231005</v>
      </c>
      <c r="B21" t="s">
        <v>137</v>
      </c>
      <c r="C21" t="s">
        <v>138</v>
      </c>
      <c r="D21">
        <v>240404</v>
      </c>
      <c r="E21">
        <v>9.4460420000000003</v>
      </c>
      <c r="F21">
        <v>9.4460420000000003</v>
      </c>
      <c r="G21">
        <v>0</v>
      </c>
      <c r="H21">
        <v>0</v>
      </c>
      <c r="I21">
        <v>0</v>
      </c>
      <c r="J21" t="s">
        <v>136</v>
      </c>
      <c r="K21" t="s">
        <v>40</v>
      </c>
      <c r="L21">
        <v>8000000000</v>
      </c>
      <c r="M21">
        <v>48955100000</v>
      </c>
      <c r="N21" s="1">
        <v>45021</v>
      </c>
      <c r="O21">
        <v>365</v>
      </c>
      <c r="P21" s="1">
        <v>45386</v>
      </c>
      <c r="Q21">
        <v>10</v>
      </c>
      <c r="R21" t="s">
        <v>132</v>
      </c>
      <c r="S21" t="s">
        <v>130</v>
      </c>
      <c r="V21" t="s">
        <v>130</v>
      </c>
      <c r="W21">
        <v>0</v>
      </c>
      <c r="Y21" t="s">
        <v>130</v>
      </c>
      <c r="AB21">
        <v>11.59</v>
      </c>
      <c r="AC21" s="1">
        <v>45204</v>
      </c>
      <c r="AG21">
        <v>11.603400000000001</v>
      </c>
      <c r="AH21">
        <v>11.61</v>
      </c>
      <c r="AK21" t="s">
        <v>139</v>
      </c>
      <c r="AL21" t="s">
        <v>140</v>
      </c>
      <c r="AM21" t="s">
        <v>130</v>
      </c>
      <c r="AN21" t="s">
        <v>41</v>
      </c>
      <c r="AO21" s="43">
        <v>5.0000000000000001E-4</v>
      </c>
      <c r="AP21" s="43">
        <v>2.3E-3</v>
      </c>
      <c r="AQ21">
        <v>9.4455910000000003</v>
      </c>
      <c r="AR21">
        <v>8.9321260000000002</v>
      </c>
      <c r="AS21" t="s">
        <v>130</v>
      </c>
      <c r="AT21" s="43">
        <v>8.0000000000000004E-4</v>
      </c>
      <c r="AU21" s="43">
        <v>3.2000000000000002E-3</v>
      </c>
      <c r="AV21">
        <v>0.45300677021000002</v>
      </c>
      <c r="AW21">
        <v>-4.2791210268E-2</v>
      </c>
      <c r="AX21">
        <v>7.5886932823000004</v>
      </c>
      <c r="AY21">
        <v>-4.0699999999999998E-3</v>
      </c>
      <c r="AZ21" s="43">
        <v>0</v>
      </c>
      <c r="BA21">
        <v>10</v>
      </c>
      <c r="BB21" t="s">
        <v>141</v>
      </c>
      <c r="BC21" s="1">
        <v>45203</v>
      </c>
      <c r="BD21" s="1">
        <v>45016</v>
      </c>
      <c r="BE21">
        <v>-4.1506330379999998E-3</v>
      </c>
      <c r="BF21">
        <v>182</v>
      </c>
      <c r="BG21">
        <v>11.6</v>
      </c>
      <c r="BH21" t="s">
        <v>142</v>
      </c>
      <c r="BI21">
        <v>0.45166101809999998</v>
      </c>
      <c r="BJ21" t="s">
        <v>163</v>
      </c>
      <c r="BK21" t="s">
        <v>41</v>
      </c>
      <c r="BL21" t="s">
        <v>41</v>
      </c>
      <c r="BM21">
        <v>0</v>
      </c>
      <c r="BN21" s="32">
        <v>45205.219502314816</v>
      </c>
      <c r="BO21" t="s">
        <v>109</v>
      </c>
    </row>
    <row r="22" spans="1:67" x14ac:dyDescent="0.25">
      <c r="A22">
        <v>20231005</v>
      </c>
      <c r="B22" t="s">
        <v>137</v>
      </c>
      <c r="C22" t="s">
        <v>138</v>
      </c>
      <c r="D22">
        <v>240502</v>
      </c>
      <c r="E22">
        <v>9.3646840000000005</v>
      </c>
      <c r="F22">
        <v>9.3646840000000005</v>
      </c>
      <c r="G22">
        <v>0</v>
      </c>
      <c r="H22">
        <v>0</v>
      </c>
      <c r="I22">
        <v>0</v>
      </c>
      <c r="J22" t="s">
        <v>136</v>
      </c>
      <c r="K22" t="s">
        <v>40</v>
      </c>
      <c r="L22">
        <v>8000000000</v>
      </c>
      <c r="M22">
        <v>23253900000</v>
      </c>
      <c r="N22" s="1">
        <v>45050</v>
      </c>
      <c r="O22">
        <v>364</v>
      </c>
      <c r="P22" s="1">
        <v>45414</v>
      </c>
      <c r="Q22">
        <v>10</v>
      </c>
      <c r="R22" t="s">
        <v>132</v>
      </c>
      <c r="S22" t="s">
        <v>130</v>
      </c>
      <c r="V22" t="s">
        <v>130</v>
      </c>
      <c r="W22">
        <v>0</v>
      </c>
      <c r="Y22" t="s">
        <v>130</v>
      </c>
      <c r="AB22">
        <v>11.68</v>
      </c>
      <c r="AC22" s="1">
        <v>45202</v>
      </c>
      <c r="AG22">
        <v>11.63</v>
      </c>
      <c r="AH22">
        <v>11.64</v>
      </c>
      <c r="AK22" t="s">
        <v>139</v>
      </c>
      <c r="AL22" t="s">
        <v>140</v>
      </c>
      <c r="AM22" t="s">
        <v>130</v>
      </c>
      <c r="AN22" t="s">
        <v>41</v>
      </c>
      <c r="AO22" s="43">
        <v>4.0000000000000002E-4</v>
      </c>
      <c r="AP22" s="43">
        <v>2.0999999999999999E-3</v>
      </c>
      <c r="AQ22">
        <v>9.3641729999999992</v>
      </c>
      <c r="AR22">
        <v>8.9466319999999993</v>
      </c>
      <c r="AS22" t="s">
        <v>130</v>
      </c>
      <c r="AT22" s="43">
        <v>8.0000000000000004E-4</v>
      </c>
      <c r="AU22" s="43">
        <v>3.0999999999999999E-3</v>
      </c>
      <c r="AV22">
        <v>0.52255964644999997</v>
      </c>
      <c r="AW22">
        <v>-4.8936060725000001E-2</v>
      </c>
      <c r="AX22">
        <v>9.1966244085</v>
      </c>
      <c r="AY22">
        <v>-3.9170000000000003E-3</v>
      </c>
      <c r="AZ22" s="43">
        <v>0</v>
      </c>
      <c r="BA22">
        <v>10</v>
      </c>
      <c r="BB22" t="s">
        <v>141</v>
      </c>
      <c r="BC22" s="1">
        <v>45203</v>
      </c>
      <c r="BD22" s="1">
        <v>45044</v>
      </c>
      <c r="BE22">
        <v>-4.7657652439999998E-3</v>
      </c>
      <c r="BF22">
        <v>210</v>
      </c>
      <c r="BG22">
        <v>11.63</v>
      </c>
      <c r="BH22" t="s">
        <v>142</v>
      </c>
      <c r="BI22">
        <v>0.52125219371999998</v>
      </c>
      <c r="BJ22" t="s">
        <v>164</v>
      </c>
      <c r="BK22" t="s">
        <v>41</v>
      </c>
      <c r="BL22" t="s">
        <v>41</v>
      </c>
      <c r="BM22">
        <v>0</v>
      </c>
      <c r="BN22" s="32">
        <v>45205.219502314816</v>
      </c>
      <c r="BO22" t="s">
        <v>109</v>
      </c>
    </row>
    <row r="23" spans="1:67" x14ac:dyDescent="0.25">
      <c r="A23">
        <v>20231005</v>
      </c>
      <c r="B23" t="s">
        <v>137</v>
      </c>
      <c r="C23" t="s">
        <v>138</v>
      </c>
      <c r="D23">
        <v>240530</v>
      </c>
      <c r="E23">
        <v>9.286308</v>
      </c>
      <c r="F23">
        <v>9.286308</v>
      </c>
      <c r="G23">
        <v>0</v>
      </c>
      <c r="H23">
        <v>0</v>
      </c>
      <c r="I23">
        <v>0</v>
      </c>
      <c r="J23" t="s">
        <v>136</v>
      </c>
      <c r="K23" t="s">
        <v>40</v>
      </c>
      <c r="L23">
        <v>8000000000</v>
      </c>
      <c r="M23">
        <v>25069600000</v>
      </c>
      <c r="N23" s="1">
        <v>45078</v>
      </c>
      <c r="O23">
        <v>364</v>
      </c>
      <c r="P23" s="1">
        <v>45442</v>
      </c>
      <c r="Q23">
        <v>10</v>
      </c>
      <c r="R23" t="s">
        <v>132</v>
      </c>
      <c r="S23" t="s">
        <v>130</v>
      </c>
      <c r="V23" t="s">
        <v>130</v>
      </c>
      <c r="W23">
        <v>0</v>
      </c>
      <c r="Y23" t="s">
        <v>130</v>
      </c>
      <c r="AB23">
        <v>11.55</v>
      </c>
      <c r="AC23" s="1">
        <v>45188</v>
      </c>
      <c r="AG23">
        <v>11.62</v>
      </c>
      <c r="AH23">
        <v>11.64</v>
      </c>
      <c r="AK23" t="s">
        <v>139</v>
      </c>
      <c r="AL23" t="s">
        <v>140</v>
      </c>
      <c r="AM23" t="s">
        <v>130</v>
      </c>
      <c r="AN23" t="s">
        <v>41</v>
      </c>
      <c r="AO23" s="43">
        <v>4.0000000000000002E-4</v>
      </c>
      <c r="AP23" s="43">
        <v>2.3E-3</v>
      </c>
      <c r="AQ23">
        <v>9.2860230000000001</v>
      </c>
      <c r="AR23">
        <v>8.9522300000000001</v>
      </c>
      <c r="AS23" t="s">
        <v>130</v>
      </c>
      <c r="AT23" s="43">
        <v>8.0000000000000004E-4</v>
      </c>
      <c r="AU23" s="43">
        <v>3.0999999999999999E-3</v>
      </c>
      <c r="AV23">
        <v>0.59226079382999997</v>
      </c>
      <c r="AW23">
        <v>-5.4999164433E-2</v>
      </c>
      <c r="AX23">
        <v>10.939032166000001</v>
      </c>
      <c r="AY23">
        <v>-4.457E-3</v>
      </c>
      <c r="AZ23" s="43">
        <v>0</v>
      </c>
      <c r="BA23">
        <v>10</v>
      </c>
      <c r="BB23" t="s">
        <v>141</v>
      </c>
      <c r="BC23" s="1">
        <v>45203</v>
      </c>
      <c r="BD23" s="1">
        <v>45072</v>
      </c>
      <c r="BE23">
        <v>-5.3756563299999999E-3</v>
      </c>
      <c r="BF23">
        <v>238</v>
      </c>
      <c r="BG23">
        <v>11.625</v>
      </c>
      <c r="BH23" t="s">
        <v>142</v>
      </c>
      <c r="BI23">
        <v>0.59106301981999998</v>
      </c>
      <c r="BJ23" t="s">
        <v>165</v>
      </c>
      <c r="BK23" t="s">
        <v>41</v>
      </c>
      <c r="BL23" t="s">
        <v>41</v>
      </c>
      <c r="BM23">
        <v>0</v>
      </c>
      <c r="BN23" s="32">
        <v>45205.219502314816</v>
      </c>
      <c r="BO23" t="s">
        <v>109</v>
      </c>
    </row>
    <row r="24" spans="1:67" x14ac:dyDescent="0.25">
      <c r="A24">
        <v>20231005</v>
      </c>
      <c r="B24" t="s">
        <v>137</v>
      </c>
      <c r="C24" t="s">
        <v>138</v>
      </c>
      <c r="D24">
        <v>240627</v>
      </c>
      <c r="E24">
        <v>9.2093000000000007</v>
      </c>
      <c r="F24">
        <v>9.2093000000000007</v>
      </c>
      <c r="G24">
        <v>0</v>
      </c>
      <c r="H24">
        <v>0</v>
      </c>
      <c r="I24">
        <v>0</v>
      </c>
      <c r="J24" t="s">
        <v>136</v>
      </c>
      <c r="K24" t="s">
        <v>40</v>
      </c>
      <c r="L24">
        <v>8000000000</v>
      </c>
      <c r="M24">
        <v>22020800000</v>
      </c>
      <c r="N24" s="1">
        <v>45106</v>
      </c>
      <c r="O24">
        <v>364</v>
      </c>
      <c r="P24" s="1">
        <v>45470</v>
      </c>
      <c r="Q24">
        <v>10</v>
      </c>
      <c r="R24" t="s">
        <v>132</v>
      </c>
      <c r="S24" t="s">
        <v>130</v>
      </c>
      <c r="V24" t="s">
        <v>130</v>
      </c>
      <c r="W24">
        <v>0</v>
      </c>
      <c r="Y24" t="s">
        <v>130</v>
      </c>
      <c r="AB24">
        <v>11.63</v>
      </c>
      <c r="AC24" s="1">
        <v>45203</v>
      </c>
      <c r="AG24">
        <v>11.6233</v>
      </c>
      <c r="AH24">
        <v>11.63</v>
      </c>
      <c r="AK24" t="s">
        <v>139</v>
      </c>
      <c r="AL24" t="s">
        <v>140</v>
      </c>
      <c r="AM24" t="s">
        <v>130</v>
      </c>
      <c r="AN24" t="s">
        <v>41</v>
      </c>
      <c r="AO24" s="43">
        <v>4.0000000000000002E-4</v>
      </c>
      <c r="AP24" s="43">
        <v>2.5000000000000001E-3</v>
      </c>
      <c r="AQ24">
        <v>9.2089859999999994</v>
      </c>
      <c r="AR24">
        <v>8.9797790000000006</v>
      </c>
      <c r="AS24" t="s">
        <v>130</v>
      </c>
      <c r="AT24" s="43">
        <v>8.0000000000000004E-4</v>
      </c>
      <c r="AU24" s="43">
        <v>3.0000000000000001E-3</v>
      </c>
      <c r="AV24">
        <v>0.66196818571000005</v>
      </c>
      <c r="AW24">
        <v>-6.0962634507999998E-2</v>
      </c>
      <c r="AX24">
        <v>12.801920338</v>
      </c>
      <c r="AY24">
        <v>-5.6249999999999998E-3</v>
      </c>
      <c r="AZ24" s="43">
        <v>0</v>
      </c>
      <c r="BA24">
        <v>10</v>
      </c>
      <c r="BB24" t="s">
        <v>141</v>
      </c>
      <c r="BC24" s="1">
        <v>45203</v>
      </c>
      <c r="BD24" s="1">
        <v>45100</v>
      </c>
      <c r="BE24">
        <v>-5.97958584E-3</v>
      </c>
      <c r="BF24">
        <v>266</v>
      </c>
      <c r="BG24">
        <v>11.62</v>
      </c>
      <c r="BH24" t="s">
        <v>142</v>
      </c>
      <c r="BI24">
        <v>0.66094303666999998</v>
      </c>
      <c r="BJ24" t="s">
        <v>166</v>
      </c>
      <c r="BK24" t="s">
        <v>41</v>
      </c>
      <c r="BL24" t="s">
        <v>41</v>
      </c>
      <c r="BM24">
        <v>0</v>
      </c>
      <c r="BN24" s="32">
        <v>45205.219502314816</v>
      </c>
      <c r="BO24" t="s">
        <v>109</v>
      </c>
    </row>
    <row r="25" spans="1:67" x14ac:dyDescent="0.25">
      <c r="A25">
        <v>20231005</v>
      </c>
      <c r="B25" t="s">
        <v>137</v>
      </c>
      <c r="C25" t="s">
        <v>138</v>
      </c>
      <c r="D25">
        <v>240725</v>
      </c>
      <c r="E25">
        <v>9.1329410000000006</v>
      </c>
      <c r="F25">
        <v>9.1329410000000006</v>
      </c>
      <c r="G25">
        <v>0</v>
      </c>
      <c r="H25">
        <v>0</v>
      </c>
      <c r="I25">
        <v>0</v>
      </c>
      <c r="J25" t="s">
        <v>136</v>
      </c>
      <c r="K25" t="s">
        <v>40</v>
      </c>
      <c r="L25">
        <v>8500000000</v>
      </c>
      <c r="M25">
        <v>24155800000</v>
      </c>
      <c r="N25" s="1">
        <v>45134</v>
      </c>
      <c r="O25">
        <v>364</v>
      </c>
      <c r="P25" s="1">
        <v>45498</v>
      </c>
      <c r="Q25">
        <v>10</v>
      </c>
      <c r="R25" t="s">
        <v>132</v>
      </c>
      <c r="S25" t="s">
        <v>130</v>
      </c>
      <c r="V25" t="s">
        <v>130</v>
      </c>
      <c r="W25">
        <v>0</v>
      </c>
      <c r="Y25" t="s">
        <v>130</v>
      </c>
      <c r="AB25">
        <v>11.63</v>
      </c>
      <c r="AC25" s="1">
        <v>45203</v>
      </c>
      <c r="AG25">
        <v>11.620799999999999</v>
      </c>
      <c r="AH25">
        <v>11.6355</v>
      </c>
      <c r="AK25" t="s">
        <v>139</v>
      </c>
      <c r="AL25" t="s">
        <v>140</v>
      </c>
      <c r="AM25" t="s">
        <v>130</v>
      </c>
      <c r="AN25" t="s">
        <v>41</v>
      </c>
      <c r="AO25" s="43">
        <v>2.0000000000000001E-4</v>
      </c>
      <c r="AP25" s="43">
        <v>2.3999999999999998E-3</v>
      </c>
      <c r="AQ25">
        <v>9.1326009999999993</v>
      </c>
      <c r="AR25">
        <v>8.9687049999999999</v>
      </c>
      <c r="AS25" t="s">
        <v>130</v>
      </c>
      <c r="AT25" s="43">
        <v>8.0000000000000004E-4</v>
      </c>
      <c r="AU25" s="43">
        <v>3.0999999999999999E-3</v>
      </c>
      <c r="AV25">
        <v>0.73161627473000002</v>
      </c>
      <c r="AW25">
        <v>-6.6818085481999995E-2</v>
      </c>
      <c r="AX25">
        <v>14.785190836</v>
      </c>
      <c r="AY25">
        <v>-6.0439999999999999E-3</v>
      </c>
      <c r="AZ25" s="43">
        <v>0</v>
      </c>
      <c r="BA25">
        <v>10</v>
      </c>
      <c r="BB25" t="s">
        <v>141</v>
      </c>
      <c r="BC25" s="1">
        <v>45203</v>
      </c>
      <c r="BD25" s="1">
        <v>45128</v>
      </c>
      <c r="BE25">
        <v>-6.5769032049999999E-3</v>
      </c>
      <c r="BF25">
        <v>294</v>
      </c>
      <c r="BG25">
        <v>11.625</v>
      </c>
      <c r="BH25" t="s">
        <v>142</v>
      </c>
      <c r="BI25">
        <v>0.73082434985</v>
      </c>
      <c r="BJ25" t="s">
        <v>167</v>
      </c>
      <c r="BK25" t="s">
        <v>41</v>
      </c>
      <c r="BL25" t="s">
        <v>41</v>
      </c>
      <c r="BM25">
        <v>0</v>
      </c>
      <c r="BN25" s="32">
        <v>45205.219502314816</v>
      </c>
      <c r="BO25" t="s">
        <v>109</v>
      </c>
    </row>
    <row r="26" spans="1:67" x14ac:dyDescent="0.25">
      <c r="A26">
        <v>20231005</v>
      </c>
      <c r="B26" t="s">
        <v>137</v>
      </c>
      <c r="C26" t="s">
        <v>138</v>
      </c>
      <c r="D26">
        <v>240822</v>
      </c>
      <c r="E26">
        <v>9.0577749999999995</v>
      </c>
      <c r="F26">
        <v>9.0577749999999995</v>
      </c>
      <c r="G26">
        <v>0</v>
      </c>
      <c r="H26">
        <v>0</v>
      </c>
      <c r="I26">
        <v>0</v>
      </c>
      <c r="J26" t="s">
        <v>136</v>
      </c>
      <c r="K26" t="s">
        <v>40</v>
      </c>
      <c r="L26">
        <v>9500000000</v>
      </c>
      <c r="M26">
        <v>36294000000</v>
      </c>
      <c r="N26" s="1">
        <v>45162</v>
      </c>
      <c r="O26">
        <v>364</v>
      </c>
      <c r="P26" s="1">
        <v>45526</v>
      </c>
      <c r="Q26">
        <v>10</v>
      </c>
      <c r="R26" t="s">
        <v>132</v>
      </c>
      <c r="S26" t="s">
        <v>130</v>
      </c>
      <c r="V26" t="s">
        <v>130</v>
      </c>
      <c r="W26">
        <v>0</v>
      </c>
      <c r="Y26" t="s">
        <v>130</v>
      </c>
      <c r="AB26">
        <v>11.64</v>
      </c>
      <c r="AC26" s="1">
        <v>45203</v>
      </c>
      <c r="AG26">
        <v>11.6379</v>
      </c>
      <c r="AH26">
        <v>11.6546</v>
      </c>
      <c r="AK26" t="s">
        <v>139</v>
      </c>
      <c r="AL26" t="s">
        <v>140</v>
      </c>
      <c r="AM26" t="s">
        <v>130</v>
      </c>
      <c r="AN26" t="s">
        <v>41</v>
      </c>
      <c r="AO26" s="43">
        <v>5.9999999999999995E-4</v>
      </c>
      <c r="AP26" s="43">
        <v>2.8E-3</v>
      </c>
      <c r="AQ26">
        <v>9.0566739999999992</v>
      </c>
      <c r="AR26">
        <v>8.9531100000000006</v>
      </c>
      <c r="AS26" t="s">
        <v>130</v>
      </c>
      <c r="AT26" s="43">
        <v>8.0000000000000004E-4</v>
      </c>
      <c r="AU26" s="43">
        <v>2.8999999999999998E-3</v>
      </c>
      <c r="AV26">
        <v>0.80125812456000001</v>
      </c>
      <c r="AW26">
        <v>-7.2576158235999999E-2</v>
      </c>
      <c r="AX26">
        <v>16.888947470000002</v>
      </c>
      <c r="AY26">
        <v>-7.3159999999999996E-3</v>
      </c>
      <c r="AZ26" s="43">
        <v>0</v>
      </c>
      <c r="BA26">
        <v>10</v>
      </c>
      <c r="BB26" t="s">
        <v>141</v>
      </c>
      <c r="BC26" s="1">
        <v>45203</v>
      </c>
      <c r="BD26" s="1">
        <v>45156</v>
      </c>
      <c r="BE26">
        <v>-7.1681338720000001E-3</v>
      </c>
      <c r="BF26">
        <v>322</v>
      </c>
      <c r="BG26">
        <v>11.63</v>
      </c>
      <c r="BH26" t="s">
        <v>142</v>
      </c>
      <c r="BI26">
        <v>0.80076101142</v>
      </c>
      <c r="BJ26" t="s">
        <v>168</v>
      </c>
      <c r="BK26" t="s">
        <v>41</v>
      </c>
      <c r="BL26" t="s">
        <v>41</v>
      </c>
      <c r="BM26">
        <v>0</v>
      </c>
      <c r="BN26" s="32">
        <v>45205.219502314816</v>
      </c>
      <c r="BO26" t="s">
        <v>109</v>
      </c>
    </row>
    <row r="27" spans="1:67" x14ac:dyDescent="0.25">
      <c r="A27">
        <v>20231005</v>
      </c>
      <c r="B27" t="s">
        <v>137</v>
      </c>
      <c r="C27" t="s">
        <v>138</v>
      </c>
      <c r="D27">
        <v>240919</v>
      </c>
      <c r="E27">
        <v>8.9837729999999993</v>
      </c>
      <c r="F27">
        <v>8.9837729999999993</v>
      </c>
      <c r="G27">
        <v>0</v>
      </c>
      <c r="H27">
        <v>0</v>
      </c>
      <c r="I27">
        <v>0</v>
      </c>
      <c r="J27" t="s">
        <v>136</v>
      </c>
      <c r="K27" t="s">
        <v>40</v>
      </c>
      <c r="L27">
        <v>105000000000</v>
      </c>
      <c r="M27">
        <v>24746400000</v>
      </c>
      <c r="N27" s="1">
        <v>45190</v>
      </c>
      <c r="O27">
        <v>364</v>
      </c>
      <c r="P27" s="1">
        <v>45554</v>
      </c>
      <c r="Q27">
        <v>10</v>
      </c>
      <c r="R27" t="s">
        <v>132</v>
      </c>
      <c r="S27" t="s">
        <v>130</v>
      </c>
      <c r="V27" t="s">
        <v>130</v>
      </c>
      <c r="W27">
        <v>0</v>
      </c>
      <c r="Y27" t="s">
        <v>130</v>
      </c>
      <c r="AB27">
        <v>11.65</v>
      </c>
      <c r="AC27" s="1">
        <v>45203</v>
      </c>
      <c r="AG27">
        <v>11.649699999999999</v>
      </c>
      <c r="AH27">
        <v>11.6508</v>
      </c>
      <c r="AK27" t="s">
        <v>139</v>
      </c>
      <c r="AL27" t="s">
        <v>140</v>
      </c>
      <c r="AM27" t="s">
        <v>130</v>
      </c>
      <c r="AN27" t="s">
        <v>41</v>
      </c>
      <c r="AO27" s="43">
        <v>8.9999999999999998E-4</v>
      </c>
      <c r="AP27" s="43">
        <v>2.7000000000000001E-3</v>
      </c>
      <c r="AQ27">
        <v>8.9825959999999991</v>
      </c>
      <c r="AR27">
        <v>8.9425000000000008</v>
      </c>
      <c r="AS27" t="s">
        <v>130</v>
      </c>
      <c r="AT27" s="43">
        <v>8.9999999999999998E-4</v>
      </c>
      <c r="AU27" s="43">
        <v>3.0999999999999999E-3</v>
      </c>
      <c r="AV27">
        <v>0.87089373602999998</v>
      </c>
      <c r="AW27">
        <v>-7.8239116838E-2</v>
      </c>
      <c r="AX27">
        <v>19.113201598</v>
      </c>
      <c r="AY27">
        <v>-9.7339999999999996E-3</v>
      </c>
      <c r="AZ27" s="43">
        <v>0</v>
      </c>
      <c r="BA27">
        <v>10</v>
      </c>
      <c r="BB27" t="s">
        <v>141</v>
      </c>
      <c r="BC27" s="1">
        <v>45203</v>
      </c>
      <c r="BD27" s="1">
        <v>45184</v>
      </c>
      <c r="BE27">
        <v>-7.75327728E-3</v>
      </c>
      <c r="BF27">
        <v>350</v>
      </c>
      <c r="BG27">
        <v>11.635</v>
      </c>
      <c r="BH27" t="s">
        <v>142</v>
      </c>
      <c r="BI27">
        <v>0.87075220014999999</v>
      </c>
      <c r="BJ27" t="s">
        <v>169</v>
      </c>
      <c r="BK27" t="s">
        <v>41</v>
      </c>
      <c r="BL27" t="s">
        <v>41</v>
      </c>
      <c r="BM27">
        <v>0</v>
      </c>
      <c r="BN27" s="32">
        <v>45205.219502314816</v>
      </c>
      <c r="BO27" t="s">
        <v>109</v>
      </c>
    </row>
    <row r="28" spans="1:67" x14ac:dyDescent="0.25">
      <c r="A28">
        <v>20231005</v>
      </c>
      <c r="B28" t="s">
        <v>137</v>
      </c>
      <c r="C28" t="s">
        <v>138</v>
      </c>
      <c r="D28">
        <v>241003</v>
      </c>
      <c r="E28">
        <v>8.9409320000000001</v>
      </c>
      <c r="F28">
        <v>8.9409320000000001</v>
      </c>
      <c r="G28">
        <v>0</v>
      </c>
      <c r="H28">
        <v>0</v>
      </c>
      <c r="I28">
        <v>0</v>
      </c>
      <c r="J28" t="s">
        <v>136</v>
      </c>
      <c r="K28" t="s">
        <v>40</v>
      </c>
      <c r="L28">
        <v>5000000000</v>
      </c>
      <c r="M28">
        <v>67231100000</v>
      </c>
      <c r="N28" s="1">
        <v>44847</v>
      </c>
      <c r="O28">
        <v>721</v>
      </c>
      <c r="P28" s="1">
        <v>45568</v>
      </c>
      <c r="Q28">
        <v>10</v>
      </c>
      <c r="R28" t="s">
        <v>132</v>
      </c>
      <c r="S28" t="s">
        <v>130</v>
      </c>
      <c r="V28" t="s">
        <v>130</v>
      </c>
      <c r="W28">
        <v>0</v>
      </c>
      <c r="Y28" t="s">
        <v>130</v>
      </c>
      <c r="AB28">
        <v>11.75</v>
      </c>
      <c r="AC28" s="1">
        <v>45203</v>
      </c>
      <c r="AG28">
        <v>11.7072</v>
      </c>
      <c r="AH28">
        <v>11.7196</v>
      </c>
      <c r="AK28" t="s">
        <v>139</v>
      </c>
      <c r="AL28" t="s">
        <v>140</v>
      </c>
      <c r="AM28" t="s">
        <v>130</v>
      </c>
      <c r="AN28" t="s">
        <v>41</v>
      </c>
      <c r="AO28" s="43">
        <v>1.1000000000000001E-3</v>
      </c>
      <c r="AP28" s="43">
        <v>3.5000000000000001E-3</v>
      </c>
      <c r="AQ28">
        <v>8.9413359999999997</v>
      </c>
      <c r="AR28">
        <v>8.1929429999999996</v>
      </c>
      <c r="AS28" t="s">
        <v>130</v>
      </c>
      <c r="AT28" s="43">
        <v>8.9999999999999998E-4</v>
      </c>
      <c r="AU28" s="43">
        <v>2.5000000000000001E-3</v>
      </c>
      <c r="AV28">
        <v>0.90508088538999998</v>
      </c>
      <c r="AW28">
        <v>-8.0922664105E-2</v>
      </c>
      <c r="AX28">
        <v>30.123356071</v>
      </c>
      <c r="AY28">
        <v>-1.0165E-2</v>
      </c>
      <c r="AZ28" s="43">
        <v>0</v>
      </c>
      <c r="BA28">
        <v>10</v>
      </c>
      <c r="BB28" t="s">
        <v>141</v>
      </c>
      <c r="BC28" s="1">
        <v>45203</v>
      </c>
      <c r="BD28" s="1">
        <v>44845</v>
      </c>
      <c r="BE28">
        <v>-7.5446410500000002E-3</v>
      </c>
      <c r="BF28">
        <v>364</v>
      </c>
      <c r="BG28">
        <v>11.715</v>
      </c>
      <c r="BH28" t="s">
        <v>142</v>
      </c>
      <c r="BI28">
        <v>0.90514036139999998</v>
      </c>
      <c r="BJ28" t="s">
        <v>170</v>
      </c>
      <c r="BK28" t="s">
        <v>41</v>
      </c>
      <c r="BL28" t="s">
        <v>41</v>
      </c>
      <c r="BM28">
        <v>0</v>
      </c>
      <c r="BN28" s="32">
        <v>45205.219502314816</v>
      </c>
      <c r="BO28" t="s">
        <v>109</v>
      </c>
    </row>
    <row r="29" spans="1:67" x14ac:dyDescent="0.25">
      <c r="A29">
        <v>20231005</v>
      </c>
      <c r="B29" t="s">
        <v>137</v>
      </c>
      <c r="C29" t="s">
        <v>138</v>
      </c>
      <c r="D29">
        <v>241128</v>
      </c>
      <c r="E29">
        <v>8.8043669999999992</v>
      </c>
      <c r="F29">
        <v>8.8043669999999992</v>
      </c>
      <c r="G29">
        <v>0</v>
      </c>
      <c r="H29">
        <v>0</v>
      </c>
      <c r="I29">
        <v>0</v>
      </c>
      <c r="J29" t="s">
        <v>136</v>
      </c>
      <c r="K29" t="s">
        <v>40</v>
      </c>
      <c r="L29">
        <v>8000000000</v>
      </c>
      <c r="M29">
        <v>64662900000</v>
      </c>
      <c r="N29" s="1">
        <v>44903</v>
      </c>
      <c r="O29">
        <v>721</v>
      </c>
      <c r="P29" s="1">
        <v>45624</v>
      </c>
      <c r="Q29">
        <v>10</v>
      </c>
      <c r="R29" t="s">
        <v>132</v>
      </c>
      <c r="S29" t="s">
        <v>130</v>
      </c>
      <c r="V29" t="s">
        <v>130</v>
      </c>
      <c r="W29">
        <v>0</v>
      </c>
      <c r="Y29" t="s">
        <v>130</v>
      </c>
      <c r="AB29">
        <v>11.6</v>
      </c>
      <c r="AC29" s="1">
        <v>45203</v>
      </c>
      <c r="AG29">
        <v>11.6195</v>
      </c>
      <c r="AH29">
        <v>11.621600000000001</v>
      </c>
      <c r="AK29" t="s">
        <v>139</v>
      </c>
      <c r="AL29" t="s">
        <v>140</v>
      </c>
      <c r="AM29" t="s">
        <v>130</v>
      </c>
      <c r="AN29" t="s">
        <v>41</v>
      </c>
      <c r="AO29" s="43">
        <v>2.0999999999999999E-3</v>
      </c>
      <c r="AP29" s="43">
        <v>5.0000000000000001E-3</v>
      </c>
      <c r="AQ29">
        <v>8.8061760000000007</v>
      </c>
      <c r="AR29">
        <v>8.2176050000000007</v>
      </c>
      <c r="AS29" t="s">
        <v>130</v>
      </c>
      <c r="AT29" s="43">
        <v>1.1000000000000001E-3</v>
      </c>
      <c r="AU29" s="43">
        <v>2.3999999999999998E-3</v>
      </c>
      <c r="AV29">
        <v>1.0450256778</v>
      </c>
      <c r="AW29">
        <v>-9.2007895559999997E-2</v>
      </c>
      <c r="AX29">
        <v>36.588234213</v>
      </c>
      <c r="AY29">
        <v>-1.1747E-2</v>
      </c>
      <c r="AZ29" s="43">
        <v>0</v>
      </c>
      <c r="BA29">
        <v>10</v>
      </c>
      <c r="BB29" t="s">
        <v>141</v>
      </c>
      <c r="BC29" s="1">
        <v>45203</v>
      </c>
      <c r="BD29" s="1">
        <v>44900</v>
      </c>
      <c r="BE29">
        <v>-8.6208450669999995E-3</v>
      </c>
      <c r="BF29">
        <v>420</v>
      </c>
      <c r="BG29">
        <v>11.64</v>
      </c>
      <c r="BH29" t="s">
        <v>142</v>
      </c>
      <c r="BI29">
        <v>1.0460325708</v>
      </c>
      <c r="BJ29" t="s">
        <v>171</v>
      </c>
      <c r="BK29" t="s">
        <v>41</v>
      </c>
      <c r="BL29" t="s">
        <v>41</v>
      </c>
      <c r="BM29">
        <v>0</v>
      </c>
      <c r="BN29" s="32">
        <v>45205.219502314816</v>
      </c>
      <c r="BO29" t="s">
        <v>109</v>
      </c>
    </row>
    <row r="30" spans="1:67" x14ac:dyDescent="0.25">
      <c r="A30">
        <v>20231005</v>
      </c>
      <c r="B30" t="s">
        <v>137</v>
      </c>
      <c r="C30" t="s">
        <v>138</v>
      </c>
      <c r="D30">
        <v>250123</v>
      </c>
      <c r="E30">
        <v>8.6652190000000004</v>
      </c>
      <c r="F30">
        <v>8.6652190000000004</v>
      </c>
      <c r="G30">
        <v>0</v>
      </c>
      <c r="H30">
        <v>0</v>
      </c>
      <c r="I30">
        <v>0</v>
      </c>
      <c r="J30" t="s">
        <v>136</v>
      </c>
      <c r="K30" t="s">
        <v>40</v>
      </c>
      <c r="L30">
        <v>25000000000</v>
      </c>
      <c r="M30">
        <v>64272700000</v>
      </c>
      <c r="N30" s="1">
        <v>44952</v>
      </c>
      <c r="O30">
        <v>728</v>
      </c>
      <c r="P30" s="1">
        <v>45680</v>
      </c>
      <c r="Q30">
        <v>10</v>
      </c>
      <c r="R30" t="s">
        <v>132</v>
      </c>
      <c r="S30" t="s">
        <v>130</v>
      </c>
      <c r="V30" t="s">
        <v>130</v>
      </c>
      <c r="W30">
        <v>0</v>
      </c>
      <c r="Y30" t="s">
        <v>130</v>
      </c>
      <c r="AB30">
        <v>11.65</v>
      </c>
      <c r="AC30" s="1">
        <v>45203</v>
      </c>
      <c r="AG30">
        <v>11.646800000000001</v>
      </c>
      <c r="AH30">
        <v>11.6647</v>
      </c>
      <c r="AK30" t="s">
        <v>139</v>
      </c>
      <c r="AL30" t="s">
        <v>140</v>
      </c>
      <c r="AM30" t="s">
        <v>130</v>
      </c>
      <c r="AN30" t="s">
        <v>41</v>
      </c>
      <c r="AO30" s="43">
        <v>1.6000000000000001E-3</v>
      </c>
      <c r="AP30" s="43">
        <v>4.1000000000000003E-3</v>
      </c>
      <c r="AQ30">
        <v>8.6647230000000004</v>
      </c>
      <c r="AR30">
        <v>8.1024200000000004</v>
      </c>
      <c r="AS30" t="s">
        <v>130</v>
      </c>
      <c r="AT30" s="43">
        <v>1.1000000000000001E-3</v>
      </c>
      <c r="AU30" s="43">
        <v>2.2000000000000001E-3</v>
      </c>
      <c r="AV30">
        <v>1.1842563567</v>
      </c>
      <c r="AW30">
        <v>-0.10261840983999999</v>
      </c>
      <c r="AX30">
        <v>43.786095871000001</v>
      </c>
      <c r="AY30">
        <v>-1.3232000000000001E-2</v>
      </c>
      <c r="AZ30" s="43">
        <v>0</v>
      </c>
      <c r="BA30">
        <v>10</v>
      </c>
      <c r="BB30" t="s">
        <v>141</v>
      </c>
      <c r="BC30" s="1">
        <v>45203</v>
      </c>
      <c r="BD30" s="1">
        <v>44971</v>
      </c>
      <c r="BE30">
        <v>-9.6532587730000004E-3</v>
      </c>
      <c r="BF30">
        <v>476</v>
      </c>
      <c r="BG30">
        <v>11.65</v>
      </c>
      <c r="BH30" t="s">
        <v>142</v>
      </c>
      <c r="BI30">
        <v>1.1864433085999999</v>
      </c>
      <c r="BJ30" t="s">
        <v>172</v>
      </c>
      <c r="BK30" t="s">
        <v>41</v>
      </c>
      <c r="BL30" t="s">
        <v>41</v>
      </c>
      <c r="BM30">
        <v>0</v>
      </c>
      <c r="BN30" s="32">
        <v>45205.219502314816</v>
      </c>
      <c r="BO30" t="s">
        <v>109</v>
      </c>
    </row>
    <row r="31" spans="1:67" x14ac:dyDescent="0.25">
      <c r="A31">
        <v>20231005</v>
      </c>
      <c r="B31" t="s">
        <v>137</v>
      </c>
      <c r="C31" t="s">
        <v>138</v>
      </c>
      <c r="D31">
        <v>250206</v>
      </c>
      <c r="E31">
        <v>8.6547199999999993</v>
      </c>
      <c r="F31">
        <v>8.6547199999999993</v>
      </c>
      <c r="G31">
        <v>0</v>
      </c>
      <c r="H31">
        <v>0</v>
      </c>
      <c r="I31">
        <v>0</v>
      </c>
      <c r="J31" t="s">
        <v>136</v>
      </c>
      <c r="K31" t="s">
        <v>40</v>
      </c>
      <c r="L31">
        <v>35000000000</v>
      </c>
      <c r="M31">
        <v>11462800000</v>
      </c>
      <c r="N31" s="1">
        <v>44994</v>
      </c>
      <c r="O31">
        <v>700</v>
      </c>
      <c r="P31" s="1">
        <v>45694</v>
      </c>
      <c r="Q31">
        <v>10</v>
      </c>
      <c r="R31" t="s">
        <v>132</v>
      </c>
      <c r="S31" t="s">
        <v>130</v>
      </c>
      <c r="V31" t="s">
        <v>130</v>
      </c>
      <c r="W31">
        <v>0</v>
      </c>
      <c r="Y31" t="s">
        <v>130</v>
      </c>
      <c r="AB31">
        <v>11.46</v>
      </c>
      <c r="AC31" s="1">
        <v>45197</v>
      </c>
      <c r="AG31">
        <v>11.4131</v>
      </c>
      <c r="AH31">
        <v>11.455</v>
      </c>
      <c r="AK31" t="s">
        <v>139</v>
      </c>
      <c r="AL31" t="s">
        <v>140</v>
      </c>
      <c r="AM31" t="s">
        <v>130</v>
      </c>
      <c r="AN31" t="s">
        <v>41</v>
      </c>
      <c r="AO31" s="43">
        <v>6.9999999999999999E-4</v>
      </c>
      <c r="AP31" s="43">
        <v>2.5999999999999999E-3</v>
      </c>
      <c r="AQ31">
        <v>8.6547199999999993</v>
      </c>
      <c r="AR31">
        <v>8.0880460000000003</v>
      </c>
      <c r="AS31" t="s">
        <v>130</v>
      </c>
      <c r="AT31" s="43">
        <v>8.9999999999999998E-4</v>
      </c>
      <c r="AU31" s="43">
        <v>2.0999999999999999E-3</v>
      </c>
      <c r="AV31">
        <v>1.2216039409999999</v>
      </c>
      <c r="AW31">
        <v>-0.10572639997</v>
      </c>
      <c r="AX31">
        <v>44.571331774999997</v>
      </c>
      <c r="AY31">
        <v>-1.3747000000000001E-2</v>
      </c>
      <c r="AZ31" s="43">
        <v>0</v>
      </c>
      <c r="BA31">
        <v>10</v>
      </c>
      <c r="BB31" t="s">
        <v>141</v>
      </c>
      <c r="BC31" s="1">
        <v>45203</v>
      </c>
      <c r="BD31" s="1">
        <v>44992</v>
      </c>
      <c r="BE31">
        <v>-9.987472822E-3</v>
      </c>
      <c r="BF31">
        <v>490</v>
      </c>
      <c r="BG31">
        <v>11.42</v>
      </c>
      <c r="BH31" t="s">
        <v>142</v>
      </c>
      <c r="BI31">
        <v>1.2240348286</v>
      </c>
      <c r="BJ31" t="s">
        <v>173</v>
      </c>
      <c r="BK31" t="s">
        <v>41</v>
      </c>
      <c r="BL31" t="s">
        <v>41</v>
      </c>
      <c r="BM31">
        <v>0</v>
      </c>
      <c r="BN31" s="32">
        <v>45205.219502314816</v>
      </c>
      <c r="BO31" t="s">
        <v>109</v>
      </c>
    </row>
    <row r="32" spans="1:67" x14ac:dyDescent="0.25">
      <c r="A32">
        <v>20231005</v>
      </c>
      <c r="B32" t="s">
        <v>137</v>
      </c>
      <c r="C32" t="s">
        <v>138</v>
      </c>
      <c r="D32">
        <v>250320</v>
      </c>
      <c r="E32">
        <v>8.5625560000000007</v>
      </c>
      <c r="F32">
        <v>8.5625560000000007</v>
      </c>
      <c r="G32">
        <v>0</v>
      </c>
      <c r="H32">
        <v>0</v>
      </c>
      <c r="I32">
        <v>0</v>
      </c>
      <c r="J32" t="s">
        <v>136</v>
      </c>
      <c r="K32" t="s">
        <v>40</v>
      </c>
      <c r="L32">
        <v>6500000000</v>
      </c>
      <c r="M32">
        <v>49966600000</v>
      </c>
      <c r="N32" s="1">
        <v>45015</v>
      </c>
      <c r="O32">
        <v>721</v>
      </c>
      <c r="P32" s="1">
        <v>45736</v>
      </c>
      <c r="Q32">
        <v>10</v>
      </c>
      <c r="R32" t="s">
        <v>132</v>
      </c>
      <c r="S32" t="s">
        <v>130</v>
      </c>
      <c r="V32" t="s">
        <v>130</v>
      </c>
      <c r="W32">
        <v>0</v>
      </c>
      <c r="Y32" t="s">
        <v>130</v>
      </c>
      <c r="AB32">
        <v>11.36</v>
      </c>
      <c r="AC32" s="1">
        <v>45204</v>
      </c>
      <c r="AG32">
        <v>11.345499999999999</v>
      </c>
      <c r="AH32">
        <v>11.364599999999999</v>
      </c>
      <c r="AK32" t="s">
        <v>139</v>
      </c>
      <c r="AL32" t="s">
        <v>140</v>
      </c>
      <c r="AM32" t="s">
        <v>130</v>
      </c>
      <c r="AN32" t="s">
        <v>41</v>
      </c>
      <c r="AO32" s="43">
        <v>2.9999999999999997E-4</v>
      </c>
      <c r="AP32" s="43">
        <v>2.5000000000000001E-3</v>
      </c>
      <c r="AQ32">
        <v>8.5630980000000001</v>
      </c>
      <c r="AR32">
        <v>8.1454470000000008</v>
      </c>
      <c r="AS32" t="s">
        <v>130</v>
      </c>
      <c r="AT32" s="43">
        <v>1E-3</v>
      </c>
      <c r="AU32" s="43">
        <v>2.3E-3</v>
      </c>
      <c r="AV32">
        <v>1.3270274584999999</v>
      </c>
      <c r="AW32">
        <v>-0.11362747103</v>
      </c>
      <c r="AX32">
        <v>50.971309007999999</v>
      </c>
      <c r="AY32">
        <v>-1.5119E-2</v>
      </c>
      <c r="AZ32" s="43">
        <v>0</v>
      </c>
      <c r="BA32">
        <v>10</v>
      </c>
      <c r="BB32" t="s">
        <v>141</v>
      </c>
      <c r="BC32" s="1">
        <v>45203</v>
      </c>
      <c r="BD32" s="1">
        <v>45013</v>
      </c>
      <c r="BE32">
        <v>-1.0721709135E-2</v>
      </c>
      <c r="BF32">
        <v>532</v>
      </c>
      <c r="BG32">
        <v>11.36</v>
      </c>
      <c r="BH32" t="s">
        <v>142</v>
      </c>
      <c r="BI32">
        <v>1.3304619275</v>
      </c>
      <c r="BJ32" t="s">
        <v>174</v>
      </c>
      <c r="BK32" t="s">
        <v>41</v>
      </c>
      <c r="BL32" t="s">
        <v>41</v>
      </c>
      <c r="BM32">
        <v>0</v>
      </c>
      <c r="BN32" s="32">
        <v>45205.219502314816</v>
      </c>
      <c r="BO32" t="s">
        <v>109</v>
      </c>
    </row>
    <row r="33" spans="1:67" x14ac:dyDescent="0.25">
      <c r="A33">
        <v>20231005</v>
      </c>
      <c r="B33" t="s">
        <v>137</v>
      </c>
      <c r="C33" t="s">
        <v>138</v>
      </c>
      <c r="D33">
        <v>250515</v>
      </c>
      <c r="E33">
        <v>8.4500620000000009</v>
      </c>
      <c r="F33">
        <v>8.4500620000000009</v>
      </c>
      <c r="G33">
        <v>0</v>
      </c>
      <c r="H33">
        <v>0</v>
      </c>
      <c r="I33">
        <v>0</v>
      </c>
      <c r="J33" t="s">
        <v>136</v>
      </c>
      <c r="K33" t="s">
        <v>40</v>
      </c>
      <c r="L33">
        <v>8500000000</v>
      </c>
      <c r="M33">
        <v>91289500000</v>
      </c>
      <c r="N33" s="1">
        <v>45071</v>
      </c>
      <c r="O33">
        <v>721</v>
      </c>
      <c r="P33" s="1">
        <v>45792</v>
      </c>
      <c r="Q33">
        <v>10</v>
      </c>
      <c r="R33" t="s">
        <v>132</v>
      </c>
      <c r="S33" t="s">
        <v>130</v>
      </c>
      <c r="V33" t="s">
        <v>130</v>
      </c>
      <c r="W33">
        <v>0</v>
      </c>
      <c r="Y33" t="s">
        <v>130</v>
      </c>
      <c r="AB33">
        <v>11.23</v>
      </c>
      <c r="AC33" s="1">
        <v>45203</v>
      </c>
      <c r="AG33">
        <v>11.238799999999999</v>
      </c>
      <c r="AH33">
        <v>11.244899999999999</v>
      </c>
      <c r="AK33" t="s">
        <v>139</v>
      </c>
      <c r="AL33" t="s">
        <v>140</v>
      </c>
      <c r="AM33" t="s">
        <v>130</v>
      </c>
      <c r="AN33" t="s">
        <v>41</v>
      </c>
      <c r="AO33" s="43">
        <v>1.6000000000000001E-3</v>
      </c>
      <c r="AP33" s="43">
        <v>3.8999999999999998E-3</v>
      </c>
      <c r="AQ33">
        <v>8.4488950000000003</v>
      </c>
      <c r="AR33">
        <v>8.1739219999999992</v>
      </c>
      <c r="AS33" t="s">
        <v>130</v>
      </c>
      <c r="AT33" s="43">
        <v>1.2999999999999999E-3</v>
      </c>
      <c r="AU33" s="43">
        <v>2.8E-3</v>
      </c>
      <c r="AV33">
        <v>1.4684287812000001</v>
      </c>
      <c r="AW33">
        <v>-0.12408313575</v>
      </c>
      <c r="AX33">
        <v>58.887559617000001</v>
      </c>
      <c r="AY33">
        <v>-1.5948E-2</v>
      </c>
      <c r="AZ33" s="43">
        <v>0</v>
      </c>
      <c r="BA33">
        <v>10</v>
      </c>
      <c r="BB33" t="s">
        <v>141</v>
      </c>
      <c r="BC33" s="1">
        <v>45203</v>
      </c>
      <c r="BD33" s="1">
        <v>45069</v>
      </c>
      <c r="BE33">
        <v>-1.1739909830999999E-2</v>
      </c>
      <c r="BF33">
        <v>588</v>
      </c>
      <c r="BG33">
        <v>11.23</v>
      </c>
      <c r="BH33" t="s">
        <v>142</v>
      </c>
      <c r="BI33">
        <v>1.4733135317999999</v>
      </c>
      <c r="BJ33" t="s">
        <v>175</v>
      </c>
      <c r="BK33" t="s">
        <v>41</v>
      </c>
      <c r="BL33" t="s">
        <v>41</v>
      </c>
      <c r="BM33">
        <v>0</v>
      </c>
      <c r="BN33" s="32">
        <v>45205.219502314816</v>
      </c>
      <c r="BO33" t="s">
        <v>109</v>
      </c>
    </row>
    <row r="34" spans="1:67" x14ac:dyDescent="0.25">
      <c r="A34">
        <v>20231005</v>
      </c>
      <c r="B34" t="s">
        <v>137</v>
      </c>
      <c r="C34" t="s">
        <v>138</v>
      </c>
      <c r="D34">
        <v>250710</v>
      </c>
      <c r="E34">
        <v>8.2839519999999993</v>
      </c>
      <c r="F34">
        <v>8.2839519999999993</v>
      </c>
      <c r="G34">
        <v>0</v>
      </c>
      <c r="H34">
        <v>0</v>
      </c>
      <c r="I34">
        <v>0</v>
      </c>
      <c r="J34" t="s">
        <v>136</v>
      </c>
      <c r="K34" t="s">
        <v>40</v>
      </c>
      <c r="L34">
        <v>8500000000</v>
      </c>
      <c r="M34">
        <v>42628500000</v>
      </c>
      <c r="N34" s="1">
        <v>45127</v>
      </c>
      <c r="O34">
        <v>721</v>
      </c>
      <c r="P34" s="1">
        <v>45848</v>
      </c>
      <c r="Q34">
        <v>10</v>
      </c>
      <c r="R34" t="s">
        <v>132</v>
      </c>
      <c r="S34" t="s">
        <v>130</v>
      </c>
      <c r="V34" t="s">
        <v>130</v>
      </c>
      <c r="W34">
        <v>0</v>
      </c>
      <c r="Y34" t="s">
        <v>130</v>
      </c>
      <c r="AB34">
        <v>11.58</v>
      </c>
      <c r="AC34" s="1">
        <v>45204</v>
      </c>
      <c r="AG34">
        <v>11.562200000000001</v>
      </c>
      <c r="AH34">
        <v>11.573</v>
      </c>
      <c r="AK34" t="s">
        <v>139</v>
      </c>
      <c r="AL34" t="s">
        <v>140</v>
      </c>
      <c r="AM34" t="s">
        <v>130</v>
      </c>
      <c r="AN34" t="s">
        <v>41</v>
      </c>
      <c r="AO34" s="43">
        <v>2.8999999999999998E-3</v>
      </c>
      <c r="AP34" s="43">
        <v>6.7999999999999996E-3</v>
      </c>
      <c r="AQ34">
        <v>8.2857939999999992</v>
      </c>
      <c r="AR34">
        <v>8.1932799999999997</v>
      </c>
      <c r="AS34" t="s">
        <v>130</v>
      </c>
      <c r="AT34" s="43">
        <v>2E-3</v>
      </c>
      <c r="AU34" s="43">
        <v>3.3E-3</v>
      </c>
      <c r="AV34">
        <v>1.603234351</v>
      </c>
      <c r="AW34">
        <v>-0.1328111605</v>
      </c>
      <c r="AX34">
        <v>67.267950440999996</v>
      </c>
      <c r="AY34">
        <v>-1.9408999999999999E-2</v>
      </c>
      <c r="AZ34" s="43">
        <v>0</v>
      </c>
      <c r="BA34">
        <v>10</v>
      </c>
      <c r="BB34" t="s">
        <v>141</v>
      </c>
      <c r="BC34" s="1">
        <v>45203</v>
      </c>
      <c r="BD34" s="1">
        <v>45121</v>
      </c>
      <c r="BE34">
        <v>-1.2668945988E-2</v>
      </c>
      <c r="BF34">
        <v>644</v>
      </c>
      <c r="BG34">
        <v>11.58</v>
      </c>
      <c r="BH34" t="s">
        <v>142</v>
      </c>
      <c r="BI34">
        <v>1.6101920598999999</v>
      </c>
      <c r="BJ34" t="s">
        <v>176</v>
      </c>
      <c r="BK34" t="s">
        <v>41</v>
      </c>
      <c r="BL34" t="s">
        <v>41</v>
      </c>
      <c r="BM34">
        <v>0</v>
      </c>
      <c r="BN34" s="32">
        <v>45205.219502314816</v>
      </c>
      <c r="BO34" t="s">
        <v>109</v>
      </c>
    </row>
    <row r="35" spans="1:67" x14ac:dyDescent="0.25">
      <c r="A35">
        <v>20231005</v>
      </c>
      <c r="B35" t="s">
        <v>137</v>
      </c>
      <c r="C35" t="s">
        <v>138</v>
      </c>
      <c r="D35">
        <v>250904</v>
      </c>
      <c r="E35">
        <v>8.1582699999999999</v>
      </c>
      <c r="F35">
        <v>8.1582699999999999</v>
      </c>
      <c r="G35">
        <v>0</v>
      </c>
      <c r="H35">
        <v>0</v>
      </c>
      <c r="I35">
        <v>0</v>
      </c>
      <c r="J35" t="s">
        <v>136</v>
      </c>
      <c r="K35" t="s">
        <v>40</v>
      </c>
      <c r="L35">
        <v>105000000000</v>
      </c>
      <c r="M35">
        <v>25760700000</v>
      </c>
      <c r="N35" s="1">
        <v>45183</v>
      </c>
      <c r="O35">
        <v>721</v>
      </c>
      <c r="P35" s="1">
        <v>45904</v>
      </c>
      <c r="Q35">
        <v>10</v>
      </c>
      <c r="R35" t="s">
        <v>132</v>
      </c>
      <c r="S35" t="s">
        <v>130</v>
      </c>
      <c r="V35" t="s">
        <v>130</v>
      </c>
      <c r="W35">
        <v>0</v>
      </c>
      <c r="Y35" t="s">
        <v>130</v>
      </c>
      <c r="AB35">
        <v>11.6</v>
      </c>
      <c r="AC35" s="1">
        <v>45204</v>
      </c>
      <c r="AG35">
        <v>11.5547</v>
      </c>
      <c r="AH35">
        <v>11.5564</v>
      </c>
      <c r="AK35" t="s">
        <v>139</v>
      </c>
      <c r="AL35" t="s">
        <v>140</v>
      </c>
      <c r="AM35" t="s">
        <v>130</v>
      </c>
      <c r="AN35" t="s">
        <v>41</v>
      </c>
      <c r="AO35" s="43">
        <v>3.0000000000000001E-3</v>
      </c>
      <c r="AP35" s="43">
        <v>6.4999999999999997E-3</v>
      </c>
      <c r="AQ35">
        <v>8.1653950000000002</v>
      </c>
      <c r="AR35">
        <v>8.1127830000000003</v>
      </c>
      <c r="AS35" t="s">
        <v>130</v>
      </c>
      <c r="AT35" s="43">
        <v>2E-3</v>
      </c>
      <c r="AU35" s="43">
        <v>3.7000000000000002E-3</v>
      </c>
      <c r="AV35">
        <v>1.7421776225000001</v>
      </c>
      <c r="AW35">
        <v>-0.1421315621</v>
      </c>
      <c r="AX35">
        <v>76.142905056000004</v>
      </c>
      <c r="AY35">
        <v>-2.0022000000000002E-2</v>
      </c>
      <c r="AZ35" s="43">
        <v>0</v>
      </c>
      <c r="BA35">
        <v>10</v>
      </c>
      <c r="BB35" t="s">
        <v>141</v>
      </c>
      <c r="BC35" s="1">
        <v>45203</v>
      </c>
      <c r="BD35" s="1">
        <v>45196</v>
      </c>
      <c r="BE35">
        <v>-1.3614630972E-2</v>
      </c>
      <c r="BF35">
        <v>700</v>
      </c>
      <c r="BG35">
        <v>11.61</v>
      </c>
      <c r="BH35" t="s">
        <v>142</v>
      </c>
      <c r="BI35">
        <v>1.7511838011</v>
      </c>
      <c r="BJ35" t="s">
        <v>177</v>
      </c>
      <c r="BK35" t="s">
        <v>41</v>
      </c>
      <c r="BL35" t="s">
        <v>41</v>
      </c>
      <c r="BM35">
        <v>0</v>
      </c>
      <c r="BN35" s="32">
        <v>45205.219502314816</v>
      </c>
      <c r="BO35" t="s">
        <v>109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236C24-BA11-4037-BC03-6E23AA1EAF94}">
  <sheetPr codeName="Hoja10"/>
  <dimension ref="A1:Q367"/>
  <sheetViews>
    <sheetView topLeftCell="A4" workbookViewId="0">
      <selection activeCell="D31" sqref="D31"/>
    </sheetView>
  </sheetViews>
  <sheetFormatPr baseColWidth="10" defaultRowHeight="15" x14ac:dyDescent="0.25"/>
  <cols>
    <col min="1" max="1" width="32.5703125" bestFit="1" customWidth="1"/>
    <col min="2" max="2" width="16.140625" bestFit="1" customWidth="1"/>
    <col min="3" max="3" width="29.28515625" customWidth="1"/>
    <col min="4" max="4" width="16.140625" customWidth="1"/>
    <col min="5" max="5" width="26.85546875" bestFit="1" customWidth="1"/>
    <col min="7" max="7" width="31.7109375" style="2" bestFit="1" customWidth="1"/>
    <col min="9" max="9" width="33.85546875" bestFit="1" customWidth="1"/>
    <col min="10" max="10" width="12.85546875" customWidth="1"/>
    <col min="11" max="11" width="33" bestFit="1" customWidth="1"/>
    <col min="12" max="12" width="13.85546875" customWidth="1"/>
    <col min="13" max="13" width="4" style="2" bestFit="1" customWidth="1"/>
    <col min="14" max="14" width="11" bestFit="1" customWidth="1"/>
    <col min="15" max="15" width="9.42578125" customWidth="1"/>
    <col min="16" max="16" width="33.85546875" bestFit="1" customWidth="1"/>
    <col min="17" max="17" width="11.85546875" bestFit="1" customWidth="1"/>
  </cols>
  <sheetData>
    <row r="1" spans="1:17" x14ac:dyDescent="0.25">
      <c r="A1" s="16" t="s">
        <v>5</v>
      </c>
      <c r="E1" s="17" t="s">
        <v>6</v>
      </c>
      <c r="L1" s="17"/>
      <c r="M1" s="2" t="s">
        <v>7</v>
      </c>
      <c r="N1" t="s">
        <v>8</v>
      </c>
      <c r="O1" s="2" t="s">
        <v>9</v>
      </c>
      <c r="P1" s="2" t="s">
        <v>3</v>
      </c>
      <c r="Q1" s="2"/>
    </row>
    <row r="2" spans="1:17" x14ac:dyDescent="0.25">
      <c r="A2" s="18">
        <v>44963</v>
      </c>
      <c r="B2" s="6" t="s">
        <v>10</v>
      </c>
      <c r="C2" s="6" t="s">
        <v>11</v>
      </c>
      <c r="E2" s="2">
        <f>+COUNT(A2:A44)</f>
        <v>43</v>
      </c>
      <c r="L2" s="19"/>
      <c r="M2" s="2">
        <v>0</v>
      </c>
      <c r="N2">
        <v>0</v>
      </c>
      <c r="O2">
        <v>0</v>
      </c>
      <c r="P2" s="19">
        <f>+E5</f>
        <v>45019</v>
      </c>
    </row>
    <row r="3" spans="1:17" x14ac:dyDescent="0.25">
      <c r="A3" s="18">
        <v>45005</v>
      </c>
      <c r="B3" s="6" t="s">
        <v>10</v>
      </c>
      <c r="C3" s="6" t="s">
        <v>12</v>
      </c>
      <c r="M3" s="2">
        <v>1</v>
      </c>
      <c r="N3">
        <f t="shared" ref="N3:N66" si="0">IF(AND(WEEKDAY(P3)&gt;1,WEEKDAY(P3)&lt;7),N2+1,N2)</f>
        <v>1</v>
      </c>
      <c r="O3">
        <f>IF(AND(WEEKDAY(P3)&gt;1,WEEKDAY(P3)&lt;7,IF(COUNTIF($A$2:$A$44,P3)&gt;0,FALSE,TRUE)),O2+1,O2)</f>
        <v>1</v>
      </c>
      <c r="P3" s="19">
        <f>+P2+1</f>
        <v>45020</v>
      </c>
    </row>
    <row r="4" spans="1:17" x14ac:dyDescent="0.25">
      <c r="A4" s="19">
        <v>45021</v>
      </c>
      <c r="C4" t="s">
        <v>13</v>
      </c>
      <c r="E4" s="20" t="s">
        <v>14</v>
      </c>
      <c r="F4" s="17"/>
      <c r="G4" s="21" t="s">
        <v>0</v>
      </c>
      <c r="I4" s="17" t="s">
        <v>15</v>
      </c>
      <c r="K4" s="17" t="s">
        <v>15</v>
      </c>
      <c r="M4" s="2">
        <v>2</v>
      </c>
      <c r="N4">
        <f t="shared" si="0"/>
        <v>2</v>
      </c>
      <c r="O4">
        <f t="shared" ref="O4:O67" si="1">IF(AND(WEEKDAY(P4)&gt;1,WEEKDAY(P4)&lt;7,IF(COUNTIF($A$2:$A$44,P4)&gt;0,FALSE,TRUE)),O3+1,O3)</f>
        <v>1</v>
      </c>
      <c r="P4" s="19">
        <f t="shared" ref="P4:P67" si="2">+P3+1</f>
        <v>45021</v>
      </c>
    </row>
    <row r="5" spans="1:17" x14ac:dyDescent="0.25">
      <c r="A5" s="18">
        <v>45022</v>
      </c>
      <c r="B5" s="6" t="s">
        <v>10</v>
      </c>
      <c r="C5" s="6" t="s">
        <v>16</v>
      </c>
      <c r="E5" s="22">
        <v>45019</v>
      </c>
      <c r="G5" s="23">
        <v>23</v>
      </c>
      <c r="I5" s="19">
        <f>+E5+G5</f>
        <v>45042</v>
      </c>
      <c r="K5" s="19">
        <f>+VLOOKUP(G5,$M$1:$P$367,4)</f>
        <v>45042</v>
      </c>
      <c r="L5" s="17"/>
      <c r="M5" s="2">
        <v>3</v>
      </c>
      <c r="N5">
        <f t="shared" si="0"/>
        <v>3</v>
      </c>
      <c r="O5">
        <f t="shared" si="1"/>
        <v>1</v>
      </c>
      <c r="P5" s="19">
        <f t="shared" si="2"/>
        <v>45022</v>
      </c>
    </row>
    <row r="6" spans="1:17" x14ac:dyDescent="0.25">
      <c r="A6" s="18">
        <v>45023</v>
      </c>
      <c r="B6" s="6" t="s">
        <v>10</v>
      </c>
      <c r="C6" s="6" t="s">
        <v>17</v>
      </c>
      <c r="L6" s="19"/>
      <c r="M6" s="2">
        <v>4</v>
      </c>
      <c r="N6">
        <f t="shared" si="0"/>
        <v>4</v>
      </c>
      <c r="O6">
        <f t="shared" si="1"/>
        <v>1</v>
      </c>
      <c r="P6" s="19">
        <f t="shared" si="2"/>
        <v>45023</v>
      </c>
    </row>
    <row r="7" spans="1:17" x14ac:dyDescent="0.25">
      <c r="A7" s="18">
        <v>45047</v>
      </c>
      <c r="B7" s="6" t="s">
        <v>10</v>
      </c>
      <c r="C7" s="6" t="s">
        <v>18</v>
      </c>
      <c r="M7" s="2">
        <v>5</v>
      </c>
      <c r="N7">
        <f t="shared" si="0"/>
        <v>4</v>
      </c>
      <c r="O7">
        <f t="shared" si="1"/>
        <v>1</v>
      </c>
      <c r="P7" s="19">
        <f t="shared" si="2"/>
        <v>45024</v>
      </c>
    </row>
    <row r="8" spans="1:17" x14ac:dyDescent="0.25">
      <c r="A8" s="19">
        <v>45051</v>
      </c>
      <c r="C8" t="s">
        <v>19</v>
      </c>
      <c r="E8" s="17" t="s">
        <v>14</v>
      </c>
      <c r="F8" s="17"/>
      <c r="G8" s="16" t="s">
        <v>0</v>
      </c>
      <c r="H8" s="17"/>
      <c r="I8" s="17" t="s">
        <v>20</v>
      </c>
      <c r="J8" s="17"/>
      <c r="K8" s="17" t="s">
        <v>20</v>
      </c>
      <c r="M8" s="2">
        <v>6</v>
      </c>
      <c r="N8">
        <f t="shared" si="0"/>
        <v>4</v>
      </c>
      <c r="O8">
        <f t="shared" si="1"/>
        <v>1</v>
      </c>
      <c r="P8" s="19">
        <f t="shared" si="2"/>
        <v>45025</v>
      </c>
    </row>
    <row r="9" spans="1:17" x14ac:dyDescent="0.25">
      <c r="A9" s="19">
        <v>45124</v>
      </c>
      <c r="C9" t="s">
        <v>21</v>
      </c>
      <c r="E9" s="1">
        <f>+E5</f>
        <v>45019</v>
      </c>
      <c r="G9" s="2">
        <f>+G5</f>
        <v>23</v>
      </c>
      <c r="I9" s="19">
        <f>+WORKDAY($E$9,G9)</f>
        <v>45050</v>
      </c>
      <c r="J9" s="19"/>
      <c r="K9" s="19">
        <f>+VLOOKUP(G9-1,$N$1:$P$367,3)+1</f>
        <v>45050</v>
      </c>
      <c r="M9" s="2">
        <v>7</v>
      </c>
      <c r="N9">
        <f t="shared" si="0"/>
        <v>5</v>
      </c>
      <c r="O9">
        <f t="shared" si="1"/>
        <v>2</v>
      </c>
      <c r="P9" s="19">
        <f t="shared" si="2"/>
        <v>45026</v>
      </c>
    </row>
    <row r="10" spans="1:17" x14ac:dyDescent="0.25">
      <c r="A10" s="19">
        <v>45125</v>
      </c>
      <c r="C10" t="s">
        <v>21</v>
      </c>
      <c r="M10" s="2">
        <v>8</v>
      </c>
      <c r="N10">
        <f t="shared" si="0"/>
        <v>6</v>
      </c>
      <c r="O10">
        <f t="shared" si="1"/>
        <v>3</v>
      </c>
      <c r="P10" s="19">
        <f t="shared" si="2"/>
        <v>45027</v>
      </c>
    </row>
    <row r="11" spans="1:17" x14ac:dyDescent="0.25">
      <c r="A11" s="19">
        <v>45126</v>
      </c>
      <c r="C11" t="s">
        <v>21</v>
      </c>
      <c r="K11" s="19"/>
      <c r="M11" s="2">
        <v>9</v>
      </c>
      <c r="N11">
        <f t="shared" si="0"/>
        <v>7</v>
      </c>
      <c r="O11">
        <f t="shared" si="1"/>
        <v>4</v>
      </c>
      <c r="P11" s="19">
        <f t="shared" si="2"/>
        <v>45028</v>
      </c>
    </row>
    <row r="12" spans="1:17" x14ac:dyDescent="0.25">
      <c r="A12" s="19">
        <v>45127</v>
      </c>
      <c r="C12" t="s">
        <v>21</v>
      </c>
      <c r="E12" s="17" t="s">
        <v>14</v>
      </c>
      <c r="F12" s="17"/>
      <c r="G12" s="16" t="s">
        <v>0</v>
      </c>
      <c r="H12" s="17"/>
      <c r="I12" s="17" t="s">
        <v>22</v>
      </c>
      <c r="J12" s="17"/>
      <c r="K12" s="17" t="s">
        <v>22</v>
      </c>
      <c r="M12" s="2">
        <v>10</v>
      </c>
      <c r="N12">
        <f t="shared" si="0"/>
        <v>8</v>
      </c>
      <c r="O12">
        <f t="shared" si="1"/>
        <v>5</v>
      </c>
      <c r="P12" s="19">
        <f t="shared" si="2"/>
        <v>45029</v>
      </c>
    </row>
    <row r="13" spans="1:17" x14ac:dyDescent="0.25">
      <c r="A13" s="19">
        <v>45128</v>
      </c>
      <c r="C13" t="s">
        <v>21</v>
      </c>
      <c r="E13" s="1">
        <f>+E9</f>
        <v>45019</v>
      </c>
      <c r="G13" s="2">
        <f>+G5</f>
        <v>23</v>
      </c>
      <c r="I13" s="19">
        <f>+WORKDAY(E13,G13,$A$2:$A$44)</f>
        <v>45057</v>
      </c>
      <c r="J13" s="19"/>
      <c r="K13" s="19">
        <f>+VLOOKUP(G13-1,$O$1:$P$367,2)+1</f>
        <v>45057</v>
      </c>
      <c r="M13" s="2">
        <v>11</v>
      </c>
      <c r="N13">
        <f t="shared" si="0"/>
        <v>9</v>
      </c>
      <c r="O13">
        <f t="shared" si="1"/>
        <v>6</v>
      </c>
      <c r="P13" s="19">
        <f t="shared" si="2"/>
        <v>45030</v>
      </c>
    </row>
    <row r="14" spans="1:17" x14ac:dyDescent="0.25">
      <c r="A14" s="19">
        <v>45129</v>
      </c>
      <c r="C14" t="s">
        <v>21</v>
      </c>
      <c r="M14" s="2">
        <v>12</v>
      </c>
      <c r="N14">
        <f t="shared" si="0"/>
        <v>9</v>
      </c>
      <c r="O14">
        <f t="shared" si="1"/>
        <v>6</v>
      </c>
      <c r="P14" s="19">
        <f t="shared" si="2"/>
        <v>45031</v>
      </c>
    </row>
    <row r="15" spans="1:17" x14ac:dyDescent="0.25">
      <c r="A15" s="19">
        <v>45130</v>
      </c>
      <c r="C15" t="s">
        <v>21</v>
      </c>
      <c r="M15" s="2">
        <v>13</v>
      </c>
      <c r="N15">
        <f t="shared" si="0"/>
        <v>9</v>
      </c>
      <c r="O15">
        <f t="shared" si="1"/>
        <v>6</v>
      </c>
      <c r="P15" s="19">
        <f t="shared" si="2"/>
        <v>45032</v>
      </c>
    </row>
    <row r="16" spans="1:17" x14ac:dyDescent="0.25">
      <c r="A16" s="19">
        <v>45131</v>
      </c>
      <c r="C16" t="s">
        <v>21</v>
      </c>
      <c r="E16" s="20" t="s">
        <v>23</v>
      </c>
      <c r="F16" s="17"/>
      <c r="G16" s="24" t="s">
        <v>24</v>
      </c>
      <c r="I16" s="16" t="s">
        <v>25</v>
      </c>
      <c r="M16" s="2">
        <v>14</v>
      </c>
      <c r="N16">
        <f t="shared" si="0"/>
        <v>10</v>
      </c>
      <c r="O16">
        <f t="shared" si="1"/>
        <v>7</v>
      </c>
      <c r="P16" s="19">
        <f t="shared" si="2"/>
        <v>45033</v>
      </c>
    </row>
    <row r="17" spans="1:16" x14ac:dyDescent="0.25">
      <c r="A17" s="19">
        <v>45132</v>
      </c>
      <c r="C17" t="s">
        <v>21</v>
      </c>
      <c r="E17" s="25">
        <f>+E5</f>
        <v>45019</v>
      </c>
      <c r="G17" s="26">
        <v>45184</v>
      </c>
      <c r="I17" s="2">
        <f>+_xlfn.DAYS(G17,E17)</f>
        <v>165</v>
      </c>
      <c r="M17" s="2">
        <v>15</v>
      </c>
      <c r="N17">
        <f t="shared" si="0"/>
        <v>11</v>
      </c>
      <c r="O17">
        <f t="shared" si="1"/>
        <v>8</v>
      </c>
      <c r="P17" s="19">
        <f t="shared" si="2"/>
        <v>45034</v>
      </c>
    </row>
    <row r="18" spans="1:16" x14ac:dyDescent="0.25">
      <c r="A18" s="19">
        <v>45133</v>
      </c>
      <c r="C18" t="s">
        <v>21</v>
      </c>
      <c r="M18" s="2">
        <v>16</v>
      </c>
      <c r="N18">
        <f t="shared" si="0"/>
        <v>12</v>
      </c>
      <c r="O18">
        <f t="shared" si="1"/>
        <v>9</v>
      </c>
      <c r="P18" s="19">
        <f t="shared" si="2"/>
        <v>45035</v>
      </c>
    </row>
    <row r="19" spans="1:16" x14ac:dyDescent="0.25">
      <c r="A19" s="19">
        <v>45134</v>
      </c>
      <c r="C19" t="s">
        <v>21</v>
      </c>
      <c r="M19" s="2">
        <v>17</v>
      </c>
      <c r="N19">
        <f t="shared" si="0"/>
        <v>13</v>
      </c>
      <c r="O19">
        <f t="shared" si="1"/>
        <v>10</v>
      </c>
      <c r="P19" s="19">
        <f t="shared" si="2"/>
        <v>45036</v>
      </c>
    </row>
    <row r="20" spans="1:16" x14ac:dyDescent="0.25">
      <c r="A20" s="19">
        <v>45135</v>
      </c>
      <c r="C20" t="s">
        <v>21</v>
      </c>
      <c r="E20" s="17" t="s">
        <v>23</v>
      </c>
      <c r="F20" s="17"/>
      <c r="G20" s="16" t="s">
        <v>24</v>
      </c>
      <c r="I20" s="16" t="s">
        <v>26</v>
      </c>
      <c r="M20" s="2">
        <v>18</v>
      </c>
      <c r="N20">
        <f t="shared" si="0"/>
        <v>14</v>
      </c>
      <c r="O20">
        <f t="shared" si="1"/>
        <v>11</v>
      </c>
      <c r="P20" s="19">
        <f t="shared" si="2"/>
        <v>45037</v>
      </c>
    </row>
    <row r="21" spans="1:16" x14ac:dyDescent="0.25">
      <c r="A21" s="19">
        <v>45136</v>
      </c>
      <c r="C21" t="s">
        <v>21</v>
      </c>
      <c r="E21" s="19">
        <f>+E17</f>
        <v>45019</v>
      </c>
      <c r="G21" s="27">
        <f>+G17</f>
        <v>45184</v>
      </c>
      <c r="I21" s="2">
        <f>+NETWORKDAYS.INTL(E21,G21,1,$A$2:$A$44)</f>
        <v>102</v>
      </c>
      <c r="M21" s="2">
        <v>19</v>
      </c>
      <c r="N21">
        <f t="shared" si="0"/>
        <v>14</v>
      </c>
      <c r="O21">
        <f t="shared" si="1"/>
        <v>11</v>
      </c>
      <c r="P21" s="19">
        <f t="shared" si="2"/>
        <v>45038</v>
      </c>
    </row>
    <row r="22" spans="1:16" x14ac:dyDescent="0.25">
      <c r="A22" s="19">
        <v>45137</v>
      </c>
      <c r="C22" t="s">
        <v>21</v>
      </c>
      <c r="M22" s="2">
        <v>20</v>
      </c>
      <c r="N22">
        <f t="shared" si="0"/>
        <v>14</v>
      </c>
      <c r="O22">
        <f t="shared" si="1"/>
        <v>11</v>
      </c>
      <c r="P22" s="19">
        <f t="shared" si="2"/>
        <v>45039</v>
      </c>
    </row>
    <row r="23" spans="1:16" x14ac:dyDescent="0.25">
      <c r="A23" s="19">
        <v>45138</v>
      </c>
      <c r="C23" t="s">
        <v>21</v>
      </c>
      <c r="D23" s="5"/>
      <c r="M23" s="2">
        <v>21</v>
      </c>
      <c r="N23">
        <f t="shared" si="0"/>
        <v>15</v>
      </c>
      <c r="O23">
        <f t="shared" si="1"/>
        <v>12</v>
      </c>
      <c r="P23" s="19">
        <f>+P22+1</f>
        <v>45040</v>
      </c>
    </row>
    <row r="24" spans="1:16" x14ac:dyDescent="0.25">
      <c r="A24" s="19">
        <v>45183</v>
      </c>
      <c r="C24" t="s">
        <v>13</v>
      </c>
      <c r="M24" s="2">
        <v>22</v>
      </c>
      <c r="N24">
        <f t="shared" si="0"/>
        <v>16</v>
      </c>
      <c r="O24">
        <f t="shared" si="1"/>
        <v>13</v>
      </c>
      <c r="P24" s="19">
        <f t="shared" si="2"/>
        <v>45041</v>
      </c>
    </row>
    <row r="25" spans="1:16" x14ac:dyDescent="0.25">
      <c r="A25" s="19">
        <v>45184</v>
      </c>
      <c r="C25" t="s">
        <v>27</v>
      </c>
      <c r="M25" s="2">
        <v>23</v>
      </c>
      <c r="N25">
        <f t="shared" si="0"/>
        <v>17</v>
      </c>
      <c r="O25">
        <f t="shared" si="1"/>
        <v>14</v>
      </c>
      <c r="P25" s="19">
        <f t="shared" si="2"/>
        <v>45042</v>
      </c>
    </row>
    <row r="26" spans="1:16" x14ac:dyDescent="0.25">
      <c r="A26" s="19">
        <v>45231</v>
      </c>
      <c r="C26" t="s">
        <v>28</v>
      </c>
      <c r="M26" s="2">
        <v>24</v>
      </c>
      <c r="N26">
        <f t="shared" si="0"/>
        <v>18</v>
      </c>
      <c r="O26">
        <f t="shared" si="1"/>
        <v>15</v>
      </c>
      <c r="P26" s="19">
        <f t="shared" si="2"/>
        <v>45043</v>
      </c>
    </row>
    <row r="27" spans="1:16" x14ac:dyDescent="0.25">
      <c r="A27" s="18">
        <v>45232</v>
      </c>
      <c r="B27" s="6" t="s">
        <v>10</v>
      </c>
      <c r="C27" s="6" t="s">
        <v>29</v>
      </c>
      <c r="E27" s="3" t="s">
        <v>32</v>
      </c>
      <c r="M27" s="2">
        <v>25</v>
      </c>
      <c r="N27">
        <f t="shared" si="0"/>
        <v>19</v>
      </c>
      <c r="O27">
        <f t="shared" si="1"/>
        <v>16</v>
      </c>
      <c r="P27" s="19">
        <f t="shared" si="2"/>
        <v>45044</v>
      </c>
    </row>
    <row r="28" spans="1:16" x14ac:dyDescent="0.25">
      <c r="A28" s="19">
        <v>45250</v>
      </c>
      <c r="C28" t="s">
        <v>30</v>
      </c>
      <c r="M28" s="2">
        <v>26</v>
      </c>
      <c r="N28">
        <f t="shared" si="0"/>
        <v>19</v>
      </c>
      <c r="O28">
        <f t="shared" si="1"/>
        <v>16</v>
      </c>
      <c r="P28" s="19">
        <f t="shared" si="2"/>
        <v>45045</v>
      </c>
    </row>
    <row r="29" spans="1:16" x14ac:dyDescent="0.25">
      <c r="A29" s="19">
        <v>45275</v>
      </c>
      <c r="C29" t="s">
        <v>31</v>
      </c>
      <c r="M29" s="2">
        <v>27</v>
      </c>
      <c r="N29">
        <f t="shared" si="0"/>
        <v>19</v>
      </c>
      <c r="O29">
        <f t="shared" si="1"/>
        <v>16</v>
      </c>
      <c r="P29" s="19">
        <f t="shared" si="2"/>
        <v>45046</v>
      </c>
    </row>
    <row r="30" spans="1:16" x14ac:dyDescent="0.25">
      <c r="A30" s="19">
        <v>45276</v>
      </c>
      <c r="C30" t="s">
        <v>21</v>
      </c>
      <c r="E30" s="25">
        <v>36552</v>
      </c>
      <c r="G30" s="26">
        <v>37644</v>
      </c>
      <c r="I30" s="2">
        <f>+_xlfn.DAYS(G30,E30)</f>
        <v>1092</v>
      </c>
      <c r="M30" s="2">
        <v>28</v>
      </c>
      <c r="N30">
        <f t="shared" si="0"/>
        <v>20</v>
      </c>
      <c r="O30">
        <f t="shared" si="1"/>
        <v>16</v>
      </c>
      <c r="P30" s="19">
        <f t="shared" si="2"/>
        <v>45047</v>
      </c>
    </row>
    <row r="31" spans="1:16" x14ac:dyDescent="0.25">
      <c r="A31" s="19">
        <v>45277</v>
      </c>
      <c r="C31" t="s">
        <v>21</v>
      </c>
      <c r="M31" s="2">
        <v>29</v>
      </c>
      <c r="N31">
        <f t="shared" si="0"/>
        <v>21</v>
      </c>
      <c r="O31">
        <f t="shared" si="1"/>
        <v>17</v>
      </c>
      <c r="P31" s="19">
        <f t="shared" si="2"/>
        <v>45048</v>
      </c>
    </row>
    <row r="32" spans="1:16" x14ac:dyDescent="0.25">
      <c r="A32" s="19">
        <v>45278</v>
      </c>
      <c r="C32" t="s">
        <v>21</v>
      </c>
      <c r="M32" s="2">
        <v>30</v>
      </c>
      <c r="N32">
        <f t="shared" si="0"/>
        <v>22</v>
      </c>
      <c r="O32">
        <f>IF(AND(WEEKDAY(P32)&gt;1,WEEKDAY(P32)&lt;7,IF(COUNTIF($A$2:$A$44,P32)&gt;0,FALSE,TRUE)),O31+1,O31)</f>
        <v>18</v>
      </c>
      <c r="P32" s="19">
        <f t="shared" si="2"/>
        <v>45049</v>
      </c>
    </row>
    <row r="33" spans="1:16" x14ac:dyDescent="0.25">
      <c r="A33" s="19">
        <v>45279</v>
      </c>
      <c r="C33" t="s">
        <v>21</v>
      </c>
      <c r="M33" s="2">
        <v>31</v>
      </c>
      <c r="N33">
        <f t="shared" si="0"/>
        <v>23</v>
      </c>
      <c r="O33">
        <f t="shared" si="1"/>
        <v>19</v>
      </c>
      <c r="P33" s="19">
        <f t="shared" si="2"/>
        <v>45050</v>
      </c>
    </row>
    <row r="34" spans="1:16" x14ac:dyDescent="0.25">
      <c r="A34" s="18">
        <v>45280</v>
      </c>
      <c r="B34" s="6" t="s">
        <v>10</v>
      </c>
      <c r="C34" t="s">
        <v>21</v>
      </c>
      <c r="M34" s="2">
        <v>32</v>
      </c>
      <c r="N34">
        <f t="shared" si="0"/>
        <v>24</v>
      </c>
      <c r="O34">
        <f t="shared" si="1"/>
        <v>19</v>
      </c>
      <c r="P34" s="19">
        <f t="shared" si="2"/>
        <v>45051</v>
      </c>
    </row>
    <row r="35" spans="1:16" x14ac:dyDescent="0.25">
      <c r="A35" s="19">
        <v>45281</v>
      </c>
      <c r="C35" t="s">
        <v>21</v>
      </c>
      <c r="M35" s="2">
        <v>33</v>
      </c>
      <c r="N35">
        <f t="shared" si="0"/>
        <v>24</v>
      </c>
      <c r="O35">
        <f t="shared" si="1"/>
        <v>19</v>
      </c>
      <c r="P35" s="19">
        <f t="shared" si="2"/>
        <v>45052</v>
      </c>
    </row>
    <row r="36" spans="1:16" x14ac:dyDescent="0.25">
      <c r="A36" s="19">
        <v>45282</v>
      </c>
      <c r="C36" t="s">
        <v>21</v>
      </c>
      <c r="M36" s="2">
        <v>34</v>
      </c>
      <c r="N36">
        <f t="shared" si="0"/>
        <v>24</v>
      </c>
      <c r="O36">
        <f t="shared" si="1"/>
        <v>19</v>
      </c>
      <c r="P36" s="19">
        <f t="shared" si="2"/>
        <v>45053</v>
      </c>
    </row>
    <row r="37" spans="1:16" x14ac:dyDescent="0.25">
      <c r="A37" s="19">
        <v>45283</v>
      </c>
      <c r="C37" t="s">
        <v>21</v>
      </c>
      <c r="M37" s="2">
        <v>35</v>
      </c>
      <c r="N37">
        <f t="shared" si="0"/>
        <v>25</v>
      </c>
      <c r="O37">
        <f t="shared" si="1"/>
        <v>20</v>
      </c>
      <c r="P37" s="19">
        <f t="shared" si="2"/>
        <v>45054</v>
      </c>
    </row>
    <row r="38" spans="1:16" x14ac:dyDescent="0.25">
      <c r="A38" s="19">
        <v>45284</v>
      </c>
      <c r="C38" t="s">
        <v>21</v>
      </c>
      <c r="M38" s="2">
        <v>36</v>
      </c>
      <c r="N38">
        <f t="shared" si="0"/>
        <v>26</v>
      </c>
      <c r="O38">
        <f t="shared" si="1"/>
        <v>21</v>
      </c>
      <c r="P38" s="19">
        <f t="shared" si="2"/>
        <v>45055</v>
      </c>
    </row>
    <row r="39" spans="1:16" x14ac:dyDescent="0.25">
      <c r="A39" s="19">
        <v>45285</v>
      </c>
      <c r="C39" t="s">
        <v>21</v>
      </c>
      <c r="M39" s="2">
        <v>37</v>
      </c>
      <c r="N39">
        <f t="shared" si="0"/>
        <v>27</v>
      </c>
      <c r="O39">
        <f t="shared" si="1"/>
        <v>22</v>
      </c>
      <c r="P39" s="19">
        <f t="shared" si="2"/>
        <v>45056</v>
      </c>
    </row>
    <row r="40" spans="1:16" x14ac:dyDescent="0.25">
      <c r="A40" s="19">
        <v>45286</v>
      </c>
      <c r="C40" t="s">
        <v>21</v>
      </c>
      <c r="M40" s="2">
        <v>38</v>
      </c>
      <c r="N40">
        <f t="shared" si="0"/>
        <v>28</v>
      </c>
      <c r="O40">
        <f t="shared" si="1"/>
        <v>23</v>
      </c>
      <c r="P40" s="19">
        <f t="shared" si="2"/>
        <v>45057</v>
      </c>
    </row>
    <row r="41" spans="1:16" x14ac:dyDescent="0.25">
      <c r="A41" s="19">
        <v>45287</v>
      </c>
      <c r="C41" t="s">
        <v>21</v>
      </c>
      <c r="M41" s="2">
        <v>39</v>
      </c>
      <c r="N41">
        <f t="shared" si="0"/>
        <v>29</v>
      </c>
      <c r="O41">
        <f t="shared" si="1"/>
        <v>24</v>
      </c>
      <c r="P41" s="19">
        <f t="shared" si="2"/>
        <v>45058</v>
      </c>
    </row>
    <row r="42" spans="1:16" x14ac:dyDescent="0.25">
      <c r="A42" s="19">
        <v>45288</v>
      </c>
      <c r="C42" t="s">
        <v>21</v>
      </c>
      <c r="M42" s="2">
        <v>40</v>
      </c>
      <c r="N42">
        <f t="shared" si="0"/>
        <v>29</v>
      </c>
      <c r="O42">
        <f t="shared" si="1"/>
        <v>24</v>
      </c>
      <c r="P42" s="19">
        <f t="shared" si="2"/>
        <v>45059</v>
      </c>
    </row>
    <row r="43" spans="1:16" x14ac:dyDescent="0.25">
      <c r="A43" s="19">
        <v>45289</v>
      </c>
      <c r="C43" t="s">
        <v>21</v>
      </c>
      <c r="M43" s="2">
        <v>41</v>
      </c>
      <c r="N43">
        <f t="shared" si="0"/>
        <v>29</v>
      </c>
      <c r="O43">
        <f t="shared" si="1"/>
        <v>24</v>
      </c>
      <c r="P43" s="19">
        <f t="shared" si="2"/>
        <v>45060</v>
      </c>
    </row>
    <row r="44" spans="1:16" x14ac:dyDescent="0.25">
      <c r="A44" s="19">
        <v>45292</v>
      </c>
      <c r="C44" t="s">
        <v>21</v>
      </c>
      <c r="M44" s="2">
        <v>42</v>
      </c>
      <c r="N44">
        <f t="shared" si="0"/>
        <v>30</v>
      </c>
      <c r="O44">
        <f t="shared" si="1"/>
        <v>25</v>
      </c>
      <c r="P44" s="19">
        <f t="shared" si="2"/>
        <v>45061</v>
      </c>
    </row>
    <row r="45" spans="1:16" x14ac:dyDescent="0.25">
      <c r="M45" s="2">
        <v>43</v>
      </c>
      <c r="N45">
        <f t="shared" si="0"/>
        <v>31</v>
      </c>
      <c r="O45">
        <f t="shared" si="1"/>
        <v>26</v>
      </c>
      <c r="P45" s="19">
        <f t="shared" si="2"/>
        <v>45062</v>
      </c>
    </row>
    <row r="46" spans="1:16" x14ac:dyDescent="0.25">
      <c r="M46" s="2">
        <v>44</v>
      </c>
      <c r="N46">
        <f t="shared" si="0"/>
        <v>32</v>
      </c>
      <c r="O46">
        <f t="shared" si="1"/>
        <v>27</v>
      </c>
      <c r="P46" s="19">
        <f t="shared" si="2"/>
        <v>45063</v>
      </c>
    </row>
    <row r="47" spans="1:16" x14ac:dyDescent="0.25">
      <c r="M47" s="2">
        <v>45</v>
      </c>
      <c r="N47">
        <f t="shared" si="0"/>
        <v>33</v>
      </c>
      <c r="O47">
        <f t="shared" si="1"/>
        <v>28</v>
      </c>
      <c r="P47" s="19">
        <f t="shared" si="2"/>
        <v>45064</v>
      </c>
    </row>
    <row r="48" spans="1:16" x14ac:dyDescent="0.25">
      <c r="M48" s="2">
        <v>46</v>
      </c>
      <c r="N48">
        <f t="shared" si="0"/>
        <v>34</v>
      </c>
      <c r="O48">
        <f t="shared" si="1"/>
        <v>29</v>
      </c>
      <c r="P48" s="19">
        <f t="shared" si="2"/>
        <v>45065</v>
      </c>
    </row>
    <row r="49" spans="13:16" x14ac:dyDescent="0.25">
      <c r="M49" s="2">
        <v>47</v>
      </c>
      <c r="N49">
        <f t="shared" si="0"/>
        <v>34</v>
      </c>
      <c r="O49">
        <f t="shared" si="1"/>
        <v>29</v>
      </c>
      <c r="P49" s="19">
        <f t="shared" si="2"/>
        <v>45066</v>
      </c>
    </row>
    <row r="50" spans="13:16" x14ac:dyDescent="0.25">
      <c r="M50" s="2">
        <v>48</v>
      </c>
      <c r="N50">
        <f t="shared" si="0"/>
        <v>34</v>
      </c>
      <c r="O50">
        <f t="shared" si="1"/>
        <v>29</v>
      </c>
      <c r="P50" s="19">
        <f t="shared" si="2"/>
        <v>45067</v>
      </c>
    </row>
    <row r="51" spans="13:16" x14ac:dyDescent="0.25">
      <c r="M51" s="2">
        <v>49</v>
      </c>
      <c r="N51">
        <f t="shared" si="0"/>
        <v>35</v>
      </c>
      <c r="O51">
        <f t="shared" si="1"/>
        <v>30</v>
      </c>
      <c r="P51" s="19">
        <f t="shared" si="2"/>
        <v>45068</v>
      </c>
    </row>
    <row r="52" spans="13:16" x14ac:dyDescent="0.25">
      <c r="M52" s="2">
        <v>50</v>
      </c>
      <c r="N52">
        <f t="shared" si="0"/>
        <v>36</v>
      </c>
      <c r="O52">
        <f t="shared" si="1"/>
        <v>31</v>
      </c>
      <c r="P52" s="19">
        <f t="shared" si="2"/>
        <v>45069</v>
      </c>
    </row>
    <row r="53" spans="13:16" x14ac:dyDescent="0.25">
      <c r="M53" s="2">
        <v>51</v>
      </c>
      <c r="N53">
        <f t="shared" si="0"/>
        <v>37</v>
      </c>
      <c r="O53">
        <f t="shared" si="1"/>
        <v>32</v>
      </c>
      <c r="P53" s="19">
        <f t="shared" si="2"/>
        <v>45070</v>
      </c>
    </row>
    <row r="54" spans="13:16" x14ac:dyDescent="0.25">
      <c r="M54" s="2">
        <v>52</v>
      </c>
      <c r="N54">
        <f t="shared" si="0"/>
        <v>38</v>
      </c>
      <c r="O54">
        <f t="shared" si="1"/>
        <v>33</v>
      </c>
      <c r="P54" s="19">
        <f t="shared" si="2"/>
        <v>45071</v>
      </c>
    </row>
    <row r="55" spans="13:16" x14ac:dyDescent="0.25">
      <c r="M55" s="2">
        <v>53</v>
      </c>
      <c r="N55">
        <f t="shared" si="0"/>
        <v>39</v>
      </c>
      <c r="O55">
        <f t="shared" si="1"/>
        <v>34</v>
      </c>
      <c r="P55" s="19">
        <f t="shared" si="2"/>
        <v>45072</v>
      </c>
    </row>
    <row r="56" spans="13:16" x14ac:dyDescent="0.25">
      <c r="M56" s="2">
        <v>54</v>
      </c>
      <c r="N56">
        <f t="shared" si="0"/>
        <v>39</v>
      </c>
      <c r="O56">
        <f t="shared" si="1"/>
        <v>34</v>
      </c>
      <c r="P56" s="19">
        <f t="shared" si="2"/>
        <v>45073</v>
      </c>
    </row>
    <row r="57" spans="13:16" x14ac:dyDescent="0.25">
      <c r="M57" s="2">
        <v>55</v>
      </c>
      <c r="N57">
        <f t="shared" si="0"/>
        <v>39</v>
      </c>
      <c r="O57">
        <f t="shared" si="1"/>
        <v>34</v>
      </c>
      <c r="P57" s="19">
        <f t="shared" si="2"/>
        <v>45074</v>
      </c>
    </row>
    <row r="58" spans="13:16" x14ac:dyDescent="0.25">
      <c r="M58" s="2">
        <v>56</v>
      </c>
      <c r="N58">
        <f t="shared" si="0"/>
        <v>40</v>
      </c>
      <c r="O58">
        <f t="shared" si="1"/>
        <v>35</v>
      </c>
      <c r="P58" s="19">
        <f t="shared" si="2"/>
        <v>45075</v>
      </c>
    </row>
    <row r="59" spans="13:16" x14ac:dyDescent="0.25">
      <c r="M59" s="2">
        <v>57</v>
      </c>
      <c r="N59">
        <f t="shared" si="0"/>
        <v>41</v>
      </c>
      <c r="O59">
        <f t="shared" si="1"/>
        <v>36</v>
      </c>
      <c r="P59" s="19">
        <f t="shared" si="2"/>
        <v>45076</v>
      </c>
    </row>
    <row r="60" spans="13:16" x14ac:dyDescent="0.25">
      <c r="M60" s="2">
        <v>58</v>
      </c>
      <c r="N60">
        <f t="shared" si="0"/>
        <v>42</v>
      </c>
      <c r="O60">
        <f t="shared" si="1"/>
        <v>37</v>
      </c>
      <c r="P60" s="19">
        <f t="shared" si="2"/>
        <v>45077</v>
      </c>
    </row>
    <row r="61" spans="13:16" x14ac:dyDescent="0.25">
      <c r="M61" s="2">
        <v>59</v>
      </c>
      <c r="N61">
        <f t="shared" si="0"/>
        <v>43</v>
      </c>
      <c r="O61">
        <f t="shared" si="1"/>
        <v>38</v>
      </c>
      <c r="P61" s="19">
        <f t="shared" si="2"/>
        <v>45078</v>
      </c>
    </row>
    <row r="62" spans="13:16" x14ac:dyDescent="0.25">
      <c r="M62" s="2">
        <v>60</v>
      </c>
      <c r="N62">
        <f t="shared" si="0"/>
        <v>44</v>
      </c>
      <c r="O62">
        <f t="shared" si="1"/>
        <v>39</v>
      </c>
      <c r="P62" s="19">
        <f t="shared" si="2"/>
        <v>45079</v>
      </c>
    </row>
    <row r="63" spans="13:16" x14ac:dyDescent="0.25">
      <c r="M63" s="2">
        <v>61</v>
      </c>
      <c r="N63">
        <f t="shared" si="0"/>
        <v>44</v>
      </c>
      <c r="O63">
        <f t="shared" si="1"/>
        <v>39</v>
      </c>
      <c r="P63" s="19">
        <f t="shared" si="2"/>
        <v>45080</v>
      </c>
    </row>
    <row r="64" spans="13:16" x14ac:dyDescent="0.25">
      <c r="M64" s="2">
        <v>62</v>
      </c>
      <c r="N64">
        <f t="shared" si="0"/>
        <v>44</v>
      </c>
      <c r="O64">
        <f t="shared" si="1"/>
        <v>39</v>
      </c>
      <c r="P64" s="19">
        <f t="shared" si="2"/>
        <v>45081</v>
      </c>
    </row>
    <row r="65" spans="13:16" x14ac:dyDescent="0.25">
      <c r="M65" s="2">
        <v>63</v>
      </c>
      <c r="N65">
        <f t="shared" si="0"/>
        <v>45</v>
      </c>
      <c r="O65">
        <f t="shared" si="1"/>
        <v>40</v>
      </c>
      <c r="P65" s="19">
        <f t="shared" si="2"/>
        <v>45082</v>
      </c>
    </row>
    <row r="66" spans="13:16" x14ac:dyDescent="0.25">
      <c r="M66" s="2">
        <v>64</v>
      </c>
      <c r="N66">
        <f t="shared" si="0"/>
        <v>46</v>
      </c>
      <c r="O66">
        <f t="shared" si="1"/>
        <v>41</v>
      </c>
      <c r="P66" s="19">
        <f t="shared" si="2"/>
        <v>45083</v>
      </c>
    </row>
    <row r="67" spans="13:16" x14ac:dyDescent="0.25">
      <c r="M67" s="2">
        <v>65</v>
      </c>
      <c r="N67">
        <f t="shared" ref="N67:N130" si="3">IF(AND(WEEKDAY(P67)&gt;1,WEEKDAY(P67)&lt;7),N66+1,N66)</f>
        <v>47</v>
      </c>
      <c r="O67">
        <f t="shared" si="1"/>
        <v>42</v>
      </c>
      <c r="P67" s="19">
        <f t="shared" si="2"/>
        <v>45084</v>
      </c>
    </row>
    <row r="68" spans="13:16" x14ac:dyDescent="0.25">
      <c r="M68" s="2">
        <v>66</v>
      </c>
      <c r="N68">
        <f t="shared" si="3"/>
        <v>48</v>
      </c>
      <c r="O68">
        <f t="shared" ref="O68:O131" si="4">IF(AND(WEEKDAY(P68)&gt;1,WEEKDAY(P68)&lt;7,IF(COUNTIF($A$2:$A$44,P68)&gt;0,FALSE,TRUE)),O67+1,O67)</f>
        <v>43</v>
      </c>
      <c r="P68" s="19">
        <f t="shared" ref="P68:P131" si="5">+P67+1</f>
        <v>45085</v>
      </c>
    </row>
    <row r="69" spans="13:16" x14ac:dyDescent="0.25">
      <c r="M69" s="2">
        <v>67</v>
      </c>
      <c r="N69">
        <f t="shared" si="3"/>
        <v>49</v>
      </c>
      <c r="O69">
        <f t="shared" si="4"/>
        <v>44</v>
      </c>
      <c r="P69" s="19">
        <f t="shared" si="5"/>
        <v>45086</v>
      </c>
    </row>
    <row r="70" spans="13:16" x14ac:dyDescent="0.25">
      <c r="M70" s="2">
        <v>68</v>
      </c>
      <c r="N70">
        <f t="shared" si="3"/>
        <v>49</v>
      </c>
      <c r="O70">
        <f t="shared" si="4"/>
        <v>44</v>
      </c>
      <c r="P70" s="19">
        <f t="shared" si="5"/>
        <v>45087</v>
      </c>
    </row>
    <row r="71" spans="13:16" x14ac:dyDescent="0.25">
      <c r="M71" s="2">
        <v>69</v>
      </c>
      <c r="N71">
        <f t="shared" si="3"/>
        <v>49</v>
      </c>
      <c r="O71">
        <f t="shared" si="4"/>
        <v>44</v>
      </c>
      <c r="P71" s="19">
        <f t="shared" si="5"/>
        <v>45088</v>
      </c>
    </row>
    <row r="72" spans="13:16" x14ac:dyDescent="0.25">
      <c r="M72" s="2">
        <v>70</v>
      </c>
      <c r="N72">
        <f t="shared" si="3"/>
        <v>50</v>
      </c>
      <c r="O72">
        <f t="shared" si="4"/>
        <v>45</v>
      </c>
      <c r="P72" s="19">
        <f t="shared" si="5"/>
        <v>45089</v>
      </c>
    </row>
    <row r="73" spans="13:16" x14ac:dyDescent="0.25">
      <c r="M73" s="2">
        <v>71</v>
      </c>
      <c r="N73">
        <f t="shared" si="3"/>
        <v>51</v>
      </c>
      <c r="O73">
        <f t="shared" si="4"/>
        <v>46</v>
      </c>
      <c r="P73" s="19">
        <f t="shared" si="5"/>
        <v>45090</v>
      </c>
    </row>
    <row r="74" spans="13:16" x14ac:dyDescent="0.25">
      <c r="M74" s="2">
        <v>72</v>
      </c>
      <c r="N74">
        <f t="shared" si="3"/>
        <v>52</v>
      </c>
      <c r="O74">
        <f t="shared" si="4"/>
        <v>47</v>
      </c>
      <c r="P74" s="19">
        <f t="shared" si="5"/>
        <v>45091</v>
      </c>
    </row>
    <row r="75" spans="13:16" x14ac:dyDescent="0.25">
      <c r="M75" s="2">
        <v>73</v>
      </c>
      <c r="N75">
        <f t="shared" si="3"/>
        <v>53</v>
      </c>
      <c r="O75">
        <f t="shared" si="4"/>
        <v>48</v>
      </c>
      <c r="P75" s="19">
        <f t="shared" si="5"/>
        <v>45092</v>
      </c>
    </row>
    <row r="76" spans="13:16" x14ac:dyDescent="0.25">
      <c r="M76" s="2">
        <v>74</v>
      </c>
      <c r="N76">
        <f t="shared" si="3"/>
        <v>54</v>
      </c>
      <c r="O76">
        <f t="shared" si="4"/>
        <v>49</v>
      </c>
      <c r="P76" s="19">
        <f t="shared" si="5"/>
        <v>45093</v>
      </c>
    </row>
    <row r="77" spans="13:16" x14ac:dyDescent="0.25">
      <c r="M77" s="2">
        <v>75</v>
      </c>
      <c r="N77">
        <f t="shared" si="3"/>
        <v>54</v>
      </c>
      <c r="O77">
        <f t="shared" si="4"/>
        <v>49</v>
      </c>
      <c r="P77" s="19">
        <f t="shared" si="5"/>
        <v>45094</v>
      </c>
    </row>
    <row r="78" spans="13:16" x14ac:dyDescent="0.25">
      <c r="M78" s="2">
        <v>76</v>
      </c>
      <c r="N78">
        <f t="shared" si="3"/>
        <v>54</v>
      </c>
      <c r="O78">
        <f t="shared" si="4"/>
        <v>49</v>
      </c>
      <c r="P78" s="19">
        <f t="shared" si="5"/>
        <v>45095</v>
      </c>
    </row>
    <row r="79" spans="13:16" x14ac:dyDescent="0.25">
      <c r="M79" s="2">
        <v>77</v>
      </c>
      <c r="N79">
        <f t="shared" si="3"/>
        <v>55</v>
      </c>
      <c r="O79">
        <f t="shared" si="4"/>
        <v>50</v>
      </c>
      <c r="P79" s="19">
        <f t="shared" si="5"/>
        <v>45096</v>
      </c>
    </row>
    <row r="80" spans="13:16" x14ac:dyDescent="0.25">
      <c r="M80" s="2">
        <v>78</v>
      </c>
      <c r="N80">
        <f t="shared" si="3"/>
        <v>56</v>
      </c>
      <c r="O80">
        <f t="shared" si="4"/>
        <v>51</v>
      </c>
      <c r="P80" s="19">
        <f t="shared" si="5"/>
        <v>45097</v>
      </c>
    </row>
    <row r="81" spans="13:16" x14ac:dyDescent="0.25">
      <c r="M81" s="2">
        <v>79</v>
      </c>
      <c r="N81">
        <f t="shared" si="3"/>
        <v>57</v>
      </c>
      <c r="O81">
        <f t="shared" si="4"/>
        <v>52</v>
      </c>
      <c r="P81" s="19">
        <f t="shared" si="5"/>
        <v>45098</v>
      </c>
    </row>
    <row r="82" spans="13:16" x14ac:dyDescent="0.25">
      <c r="M82" s="2">
        <v>80</v>
      </c>
      <c r="N82">
        <f t="shared" si="3"/>
        <v>58</v>
      </c>
      <c r="O82">
        <f t="shared" si="4"/>
        <v>53</v>
      </c>
      <c r="P82" s="19">
        <f t="shared" si="5"/>
        <v>45099</v>
      </c>
    </row>
    <row r="83" spans="13:16" x14ac:dyDescent="0.25">
      <c r="M83" s="2">
        <v>81</v>
      </c>
      <c r="N83">
        <f t="shared" si="3"/>
        <v>59</v>
      </c>
      <c r="O83">
        <f t="shared" si="4"/>
        <v>54</v>
      </c>
      <c r="P83" s="19">
        <f t="shared" si="5"/>
        <v>45100</v>
      </c>
    </row>
    <row r="84" spans="13:16" x14ac:dyDescent="0.25">
      <c r="M84" s="2">
        <v>82</v>
      </c>
      <c r="N84">
        <f t="shared" si="3"/>
        <v>59</v>
      </c>
      <c r="O84">
        <f t="shared" si="4"/>
        <v>54</v>
      </c>
      <c r="P84" s="19">
        <f t="shared" si="5"/>
        <v>45101</v>
      </c>
    </row>
    <row r="85" spans="13:16" x14ac:dyDescent="0.25">
      <c r="M85" s="2">
        <v>83</v>
      </c>
      <c r="N85">
        <f t="shared" si="3"/>
        <v>59</v>
      </c>
      <c r="O85">
        <f t="shared" si="4"/>
        <v>54</v>
      </c>
      <c r="P85" s="19">
        <f t="shared" si="5"/>
        <v>45102</v>
      </c>
    </row>
    <row r="86" spans="13:16" x14ac:dyDescent="0.25">
      <c r="M86" s="2">
        <v>84</v>
      </c>
      <c r="N86">
        <f t="shared" si="3"/>
        <v>60</v>
      </c>
      <c r="O86">
        <f t="shared" si="4"/>
        <v>55</v>
      </c>
      <c r="P86" s="19">
        <f t="shared" si="5"/>
        <v>45103</v>
      </c>
    </row>
    <row r="87" spans="13:16" x14ac:dyDescent="0.25">
      <c r="M87" s="2">
        <v>85</v>
      </c>
      <c r="N87">
        <f t="shared" si="3"/>
        <v>61</v>
      </c>
      <c r="O87">
        <f t="shared" si="4"/>
        <v>56</v>
      </c>
      <c r="P87" s="19">
        <f t="shared" si="5"/>
        <v>45104</v>
      </c>
    </row>
    <row r="88" spans="13:16" x14ac:dyDescent="0.25">
      <c r="M88" s="2">
        <v>86</v>
      </c>
      <c r="N88">
        <f t="shared" si="3"/>
        <v>62</v>
      </c>
      <c r="O88">
        <f t="shared" si="4"/>
        <v>57</v>
      </c>
      <c r="P88" s="19">
        <f t="shared" si="5"/>
        <v>45105</v>
      </c>
    </row>
    <row r="89" spans="13:16" x14ac:dyDescent="0.25">
      <c r="M89" s="2">
        <v>87</v>
      </c>
      <c r="N89">
        <f t="shared" si="3"/>
        <v>63</v>
      </c>
      <c r="O89">
        <f t="shared" si="4"/>
        <v>58</v>
      </c>
      <c r="P89" s="19">
        <f t="shared" si="5"/>
        <v>45106</v>
      </c>
    </row>
    <row r="90" spans="13:16" x14ac:dyDescent="0.25">
      <c r="M90" s="2">
        <v>88</v>
      </c>
      <c r="N90">
        <f t="shared" si="3"/>
        <v>64</v>
      </c>
      <c r="O90">
        <f t="shared" si="4"/>
        <v>59</v>
      </c>
      <c r="P90" s="19">
        <f t="shared" si="5"/>
        <v>45107</v>
      </c>
    </row>
    <row r="91" spans="13:16" x14ac:dyDescent="0.25">
      <c r="M91" s="2">
        <v>89</v>
      </c>
      <c r="N91">
        <f t="shared" si="3"/>
        <v>64</v>
      </c>
      <c r="O91">
        <f t="shared" si="4"/>
        <v>59</v>
      </c>
      <c r="P91" s="19">
        <f t="shared" si="5"/>
        <v>45108</v>
      </c>
    </row>
    <row r="92" spans="13:16" x14ac:dyDescent="0.25">
      <c r="M92" s="2">
        <v>90</v>
      </c>
      <c r="N92">
        <f t="shared" si="3"/>
        <v>64</v>
      </c>
      <c r="O92">
        <f t="shared" si="4"/>
        <v>59</v>
      </c>
      <c r="P92" s="19">
        <f t="shared" si="5"/>
        <v>45109</v>
      </c>
    </row>
    <row r="93" spans="13:16" x14ac:dyDescent="0.25">
      <c r="M93" s="2">
        <v>91</v>
      </c>
      <c r="N93">
        <f t="shared" si="3"/>
        <v>65</v>
      </c>
      <c r="O93">
        <f t="shared" si="4"/>
        <v>60</v>
      </c>
      <c r="P93" s="19">
        <f t="shared" si="5"/>
        <v>45110</v>
      </c>
    </row>
    <row r="94" spans="13:16" x14ac:dyDescent="0.25">
      <c r="M94" s="2">
        <v>92</v>
      </c>
      <c r="N94">
        <f t="shared" si="3"/>
        <v>66</v>
      </c>
      <c r="O94">
        <f t="shared" si="4"/>
        <v>61</v>
      </c>
      <c r="P94" s="19">
        <f t="shared" si="5"/>
        <v>45111</v>
      </c>
    </row>
    <row r="95" spans="13:16" x14ac:dyDescent="0.25">
      <c r="M95" s="2">
        <v>93</v>
      </c>
      <c r="N95">
        <f t="shared" si="3"/>
        <v>67</v>
      </c>
      <c r="O95">
        <f t="shared" si="4"/>
        <v>62</v>
      </c>
      <c r="P95" s="19">
        <f t="shared" si="5"/>
        <v>45112</v>
      </c>
    </row>
    <row r="96" spans="13:16" x14ac:dyDescent="0.25">
      <c r="M96" s="2">
        <v>94</v>
      </c>
      <c r="N96">
        <f t="shared" si="3"/>
        <v>68</v>
      </c>
      <c r="O96">
        <f t="shared" si="4"/>
        <v>63</v>
      </c>
      <c r="P96" s="19">
        <f t="shared" si="5"/>
        <v>45113</v>
      </c>
    </row>
    <row r="97" spans="13:16" x14ac:dyDescent="0.25">
      <c r="M97" s="2">
        <v>95</v>
      </c>
      <c r="N97">
        <f t="shared" si="3"/>
        <v>69</v>
      </c>
      <c r="O97">
        <f t="shared" si="4"/>
        <v>64</v>
      </c>
      <c r="P97" s="19">
        <f t="shared" si="5"/>
        <v>45114</v>
      </c>
    </row>
    <row r="98" spans="13:16" x14ac:dyDescent="0.25">
      <c r="M98" s="2">
        <v>96</v>
      </c>
      <c r="N98">
        <f t="shared" si="3"/>
        <v>69</v>
      </c>
      <c r="O98">
        <f t="shared" si="4"/>
        <v>64</v>
      </c>
      <c r="P98" s="19">
        <f t="shared" si="5"/>
        <v>45115</v>
      </c>
    </row>
    <row r="99" spans="13:16" x14ac:dyDescent="0.25">
      <c r="M99" s="2">
        <v>97</v>
      </c>
      <c r="N99">
        <f t="shared" si="3"/>
        <v>69</v>
      </c>
      <c r="O99">
        <f t="shared" si="4"/>
        <v>64</v>
      </c>
      <c r="P99" s="19">
        <f t="shared" si="5"/>
        <v>45116</v>
      </c>
    </row>
    <row r="100" spans="13:16" x14ac:dyDescent="0.25">
      <c r="M100" s="2">
        <v>98</v>
      </c>
      <c r="N100">
        <f t="shared" si="3"/>
        <v>70</v>
      </c>
      <c r="O100">
        <f t="shared" si="4"/>
        <v>65</v>
      </c>
      <c r="P100" s="19">
        <f t="shared" si="5"/>
        <v>45117</v>
      </c>
    </row>
    <row r="101" spans="13:16" x14ac:dyDescent="0.25">
      <c r="M101" s="2">
        <v>99</v>
      </c>
      <c r="N101">
        <f t="shared" si="3"/>
        <v>71</v>
      </c>
      <c r="O101">
        <f t="shared" si="4"/>
        <v>66</v>
      </c>
      <c r="P101" s="19">
        <f t="shared" si="5"/>
        <v>45118</v>
      </c>
    </row>
    <row r="102" spans="13:16" x14ac:dyDescent="0.25">
      <c r="M102" s="2">
        <v>100</v>
      </c>
      <c r="N102">
        <f t="shared" si="3"/>
        <v>72</v>
      </c>
      <c r="O102">
        <f t="shared" si="4"/>
        <v>67</v>
      </c>
      <c r="P102" s="19">
        <f t="shared" si="5"/>
        <v>45119</v>
      </c>
    </row>
    <row r="103" spans="13:16" x14ac:dyDescent="0.25">
      <c r="M103" s="2">
        <v>101</v>
      </c>
      <c r="N103">
        <f t="shared" si="3"/>
        <v>73</v>
      </c>
      <c r="O103">
        <f t="shared" si="4"/>
        <v>68</v>
      </c>
      <c r="P103" s="19">
        <f t="shared" si="5"/>
        <v>45120</v>
      </c>
    </row>
    <row r="104" spans="13:16" x14ac:dyDescent="0.25">
      <c r="M104" s="2">
        <v>102</v>
      </c>
      <c r="N104">
        <f t="shared" si="3"/>
        <v>74</v>
      </c>
      <c r="O104">
        <f t="shared" si="4"/>
        <v>69</v>
      </c>
      <c r="P104" s="19">
        <f t="shared" si="5"/>
        <v>45121</v>
      </c>
    </row>
    <row r="105" spans="13:16" x14ac:dyDescent="0.25">
      <c r="M105" s="2">
        <v>103</v>
      </c>
      <c r="N105">
        <f t="shared" si="3"/>
        <v>74</v>
      </c>
      <c r="O105">
        <f t="shared" si="4"/>
        <v>69</v>
      </c>
      <c r="P105" s="19">
        <f t="shared" si="5"/>
        <v>45122</v>
      </c>
    </row>
    <row r="106" spans="13:16" x14ac:dyDescent="0.25">
      <c r="M106" s="2">
        <v>104</v>
      </c>
      <c r="N106">
        <f t="shared" si="3"/>
        <v>74</v>
      </c>
      <c r="O106">
        <f t="shared" si="4"/>
        <v>69</v>
      </c>
      <c r="P106" s="19">
        <f t="shared" si="5"/>
        <v>45123</v>
      </c>
    </row>
    <row r="107" spans="13:16" x14ac:dyDescent="0.25">
      <c r="M107" s="2">
        <v>105</v>
      </c>
      <c r="N107">
        <f t="shared" si="3"/>
        <v>75</v>
      </c>
      <c r="O107">
        <f t="shared" si="4"/>
        <v>69</v>
      </c>
      <c r="P107" s="19">
        <f t="shared" si="5"/>
        <v>45124</v>
      </c>
    </row>
    <row r="108" spans="13:16" x14ac:dyDescent="0.25">
      <c r="M108" s="2">
        <v>106</v>
      </c>
      <c r="N108">
        <f t="shared" si="3"/>
        <v>76</v>
      </c>
      <c r="O108">
        <f t="shared" si="4"/>
        <v>69</v>
      </c>
      <c r="P108" s="19">
        <f t="shared" si="5"/>
        <v>45125</v>
      </c>
    </row>
    <row r="109" spans="13:16" x14ac:dyDescent="0.25">
      <c r="M109" s="2">
        <v>107</v>
      </c>
      <c r="N109">
        <f t="shared" si="3"/>
        <v>77</v>
      </c>
      <c r="O109">
        <f t="shared" si="4"/>
        <v>69</v>
      </c>
      <c r="P109" s="19">
        <f t="shared" si="5"/>
        <v>45126</v>
      </c>
    </row>
    <row r="110" spans="13:16" x14ac:dyDescent="0.25">
      <c r="M110" s="2">
        <v>108</v>
      </c>
      <c r="N110">
        <f t="shared" si="3"/>
        <v>78</v>
      </c>
      <c r="O110">
        <f t="shared" si="4"/>
        <v>69</v>
      </c>
      <c r="P110" s="19">
        <f t="shared" si="5"/>
        <v>45127</v>
      </c>
    </row>
    <row r="111" spans="13:16" x14ac:dyDescent="0.25">
      <c r="M111" s="2">
        <v>109</v>
      </c>
      <c r="N111">
        <f t="shared" si="3"/>
        <v>79</v>
      </c>
      <c r="O111">
        <f t="shared" si="4"/>
        <v>69</v>
      </c>
      <c r="P111" s="19">
        <f t="shared" si="5"/>
        <v>45128</v>
      </c>
    </row>
    <row r="112" spans="13:16" x14ac:dyDescent="0.25">
      <c r="M112" s="2">
        <v>110</v>
      </c>
      <c r="N112">
        <f t="shared" si="3"/>
        <v>79</v>
      </c>
      <c r="O112">
        <f t="shared" si="4"/>
        <v>69</v>
      </c>
      <c r="P112" s="19">
        <f t="shared" si="5"/>
        <v>45129</v>
      </c>
    </row>
    <row r="113" spans="13:16" x14ac:dyDescent="0.25">
      <c r="M113" s="2">
        <v>111</v>
      </c>
      <c r="N113">
        <f t="shared" si="3"/>
        <v>79</v>
      </c>
      <c r="O113">
        <f t="shared" si="4"/>
        <v>69</v>
      </c>
      <c r="P113" s="19">
        <f t="shared" si="5"/>
        <v>45130</v>
      </c>
    </row>
    <row r="114" spans="13:16" x14ac:dyDescent="0.25">
      <c r="M114" s="2">
        <v>112</v>
      </c>
      <c r="N114">
        <f t="shared" si="3"/>
        <v>80</v>
      </c>
      <c r="O114">
        <f t="shared" si="4"/>
        <v>69</v>
      </c>
      <c r="P114" s="19">
        <f t="shared" si="5"/>
        <v>45131</v>
      </c>
    </row>
    <row r="115" spans="13:16" x14ac:dyDescent="0.25">
      <c r="M115" s="2">
        <v>113</v>
      </c>
      <c r="N115">
        <f t="shared" si="3"/>
        <v>81</v>
      </c>
      <c r="O115">
        <f t="shared" si="4"/>
        <v>69</v>
      </c>
      <c r="P115" s="19">
        <f t="shared" si="5"/>
        <v>45132</v>
      </c>
    </row>
    <row r="116" spans="13:16" x14ac:dyDescent="0.25">
      <c r="M116" s="2">
        <v>114</v>
      </c>
      <c r="N116">
        <f t="shared" si="3"/>
        <v>82</v>
      </c>
      <c r="O116">
        <f t="shared" si="4"/>
        <v>69</v>
      </c>
      <c r="P116" s="19">
        <f t="shared" si="5"/>
        <v>45133</v>
      </c>
    </row>
    <row r="117" spans="13:16" x14ac:dyDescent="0.25">
      <c r="M117" s="2">
        <v>115</v>
      </c>
      <c r="N117">
        <f t="shared" si="3"/>
        <v>83</v>
      </c>
      <c r="O117">
        <f t="shared" si="4"/>
        <v>69</v>
      </c>
      <c r="P117" s="19">
        <f t="shared" si="5"/>
        <v>45134</v>
      </c>
    </row>
    <row r="118" spans="13:16" x14ac:dyDescent="0.25">
      <c r="M118" s="2">
        <v>116</v>
      </c>
      <c r="N118">
        <f t="shared" si="3"/>
        <v>84</v>
      </c>
      <c r="O118">
        <f t="shared" si="4"/>
        <v>69</v>
      </c>
      <c r="P118" s="19">
        <f t="shared" si="5"/>
        <v>45135</v>
      </c>
    </row>
    <row r="119" spans="13:16" x14ac:dyDescent="0.25">
      <c r="M119" s="2">
        <v>117</v>
      </c>
      <c r="N119">
        <f t="shared" si="3"/>
        <v>84</v>
      </c>
      <c r="O119">
        <f t="shared" si="4"/>
        <v>69</v>
      </c>
      <c r="P119" s="19">
        <f t="shared" si="5"/>
        <v>45136</v>
      </c>
    </row>
    <row r="120" spans="13:16" x14ac:dyDescent="0.25">
      <c r="M120" s="2">
        <v>118</v>
      </c>
      <c r="N120">
        <f t="shared" si="3"/>
        <v>84</v>
      </c>
      <c r="O120">
        <f t="shared" si="4"/>
        <v>69</v>
      </c>
      <c r="P120" s="19">
        <f t="shared" si="5"/>
        <v>45137</v>
      </c>
    </row>
    <row r="121" spans="13:16" x14ac:dyDescent="0.25">
      <c r="M121" s="2">
        <v>119</v>
      </c>
      <c r="N121">
        <f t="shared" si="3"/>
        <v>85</v>
      </c>
      <c r="O121">
        <f t="shared" si="4"/>
        <v>69</v>
      </c>
      <c r="P121" s="19">
        <f t="shared" si="5"/>
        <v>45138</v>
      </c>
    </row>
    <row r="122" spans="13:16" x14ac:dyDescent="0.25">
      <c r="M122" s="2">
        <v>120</v>
      </c>
      <c r="N122">
        <f t="shared" si="3"/>
        <v>86</v>
      </c>
      <c r="O122">
        <f t="shared" si="4"/>
        <v>70</v>
      </c>
      <c r="P122" s="19">
        <f t="shared" si="5"/>
        <v>45139</v>
      </c>
    </row>
    <row r="123" spans="13:16" x14ac:dyDescent="0.25">
      <c r="M123" s="2">
        <v>121</v>
      </c>
      <c r="N123">
        <f t="shared" si="3"/>
        <v>87</v>
      </c>
      <c r="O123">
        <f t="shared" si="4"/>
        <v>71</v>
      </c>
      <c r="P123" s="19">
        <f t="shared" si="5"/>
        <v>45140</v>
      </c>
    </row>
    <row r="124" spans="13:16" x14ac:dyDescent="0.25">
      <c r="M124" s="2">
        <v>122</v>
      </c>
      <c r="N124">
        <f t="shared" si="3"/>
        <v>88</v>
      </c>
      <c r="O124">
        <f t="shared" si="4"/>
        <v>72</v>
      </c>
      <c r="P124" s="19">
        <f t="shared" si="5"/>
        <v>45141</v>
      </c>
    </row>
    <row r="125" spans="13:16" x14ac:dyDescent="0.25">
      <c r="M125" s="2">
        <v>123</v>
      </c>
      <c r="N125">
        <f t="shared" si="3"/>
        <v>89</v>
      </c>
      <c r="O125">
        <f t="shared" si="4"/>
        <v>73</v>
      </c>
      <c r="P125" s="19">
        <f t="shared" si="5"/>
        <v>45142</v>
      </c>
    </row>
    <row r="126" spans="13:16" x14ac:dyDescent="0.25">
      <c r="M126" s="2">
        <v>124</v>
      </c>
      <c r="N126">
        <f t="shared" si="3"/>
        <v>89</v>
      </c>
      <c r="O126">
        <f t="shared" si="4"/>
        <v>73</v>
      </c>
      <c r="P126" s="19">
        <f t="shared" si="5"/>
        <v>45143</v>
      </c>
    </row>
    <row r="127" spans="13:16" x14ac:dyDescent="0.25">
      <c r="M127" s="2">
        <v>125</v>
      </c>
      <c r="N127">
        <f t="shared" si="3"/>
        <v>89</v>
      </c>
      <c r="O127">
        <f t="shared" si="4"/>
        <v>73</v>
      </c>
      <c r="P127" s="19">
        <f t="shared" si="5"/>
        <v>45144</v>
      </c>
    </row>
    <row r="128" spans="13:16" x14ac:dyDescent="0.25">
      <c r="M128" s="2">
        <v>126</v>
      </c>
      <c r="N128">
        <f t="shared" si="3"/>
        <v>90</v>
      </c>
      <c r="O128">
        <f t="shared" si="4"/>
        <v>74</v>
      </c>
      <c r="P128" s="19">
        <f t="shared" si="5"/>
        <v>45145</v>
      </c>
    </row>
    <row r="129" spans="13:16" x14ac:dyDescent="0.25">
      <c r="M129" s="2">
        <v>127</v>
      </c>
      <c r="N129">
        <f t="shared" si="3"/>
        <v>91</v>
      </c>
      <c r="O129">
        <f t="shared" si="4"/>
        <v>75</v>
      </c>
      <c r="P129" s="19">
        <f t="shared" si="5"/>
        <v>45146</v>
      </c>
    </row>
    <row r="130" spans="13:16" x14ac:dyDescent="0.25">
      <c r="M130" s="2">
        <v>128</v>
      </c>
      <c r="N130">
        <f t="shared" si="3"/>
        <v>92</v>
      </c>
      <c r="O130">
        <f t="shared" si="4"/>
        <v>76</v>
      </c>
      <c r="P130" s="19">
        <f t="shared" si="5"/>
        <v>45147</v>
      </c>
    </row>
    <row r="131" spans="13:16" x14ac:dyDescent="0.25">
      <c r="M131" s="2">
        <v>129</v>
      </c>
      <c r="N131">
        <f t="shared" ref="N131:N194" si="6">IF(AND(WEEKDAY(P131)&gt;1,WEEKDAY(P131)&lt;7),N130+1,N130)</f>
        <v>93</v>
      </c>
      <c r="O131">
        <f t="shared" si="4"/>
        <v>77</v>
      </c>
      <c r="P131" s="19">
        <f t="shared" si="5"/>
        <v>45148</v>
      </c>
    </row>
    <row r="132" spans="13:16" x14ac:dyDescent="0.25">
      <c r="M132" s="2">
        <v>130</v>
      </c>
      <c r="N132">
        <f t="shared" si="6"/>
        <v>94</v>
      </c>
      <c r="O132">
        <f t="shared" ref="O132:O195" si="7">IF(AND(WEEKDAY(P132)&gt;1,WEEKDAY(P132)&lt;7,IF(COUNTIF($A$2:$A$44,P132)&gt;0,FALSE,TRUE)),O131+1,O131)</f>
        <v>78</v>
      </c>
      <c r="P132" s="19">
        <f t="shared" ref="P132:P195" si="8">+P131+1</f>
        <v>45149</v>
      </c>
    </row>
    <row r="133" spans="13:16" x14ac:dyDescent="0.25">
      <c r="M133" s="2">
        <v>131</v>
      </c>
      <c r="N133">
        <f t="shared" si="6"/>
        <v>94</v>
      </c>
      <c r="O133">
        <f t="shared" si="7"/>
        <v>78</v>
      </c>
      <c r="P133" s="19">
        <f t="shared" si="8"/>
        <v>45150</v>
      </c>
    </row>
    <row r="134" spans="13:16" x14ac:dyDescent="0.25">
      <c r="M134" s="2">
        <v>132</v>
      </c>
      <c r="N134">
        <f t="shared" si="6"/>
        <v>94</v>
      </c>
      <c r="O134">
        <f t="shared" si="7"/>
        <v>78</v>
      </c>
      <c r="P134" s="19">
        <f t="shared" si="8"/>
        <v>45151</v>
      </c>
    </row>
    <row r="135" spans="13:16" x14ac:dyDescent="0.25">
      <c r="M135" s="2">
        <v>133</v>
      </c>
      <c r="N135">
        <f t="shared" si="6"/>
        <v>95</v>
      </c>
      <c r="O135">
        <f t="shared" si="7"/>
        <v>79</v>
      </c>
      <c r="P135" s="19">
        <f t="shared" si="8"/>
        <v>45152</v>
      </c>
    </row>
    <row r="136" spans="13:16" x14ac:dyDescent="0.25">
      <c r="M136" s="2">
        <v>134</v>
      </c>
      <c r="N136">
        <f t="shared" si="6"/>
        <v>96</v>
      </c>
      <c r="O136">
        <f t="shared" si="7"/>
        <v>80</v>
      </c>
      <c r="P136" s="19">
        <f t="shared" si="8"/>
        <v>45153</v>
      </c>
    </row>
    <row r="137" spans="13:16" x14ac:dyDescent="0.25">
      <c r="M137" s="2">
        <v>135</v>
      </c>
      <c r="N137">
        <f t="shared" si="6"/>
        <v>97</v>
      </c>
      <c r="O137">
        <f t="shared" si="7"/>
        <v>81</v>
      </c>
      <c r="P137" s="19">
        <f t="shared" si="8"/>
        <v>45154</v>
      </c>
    </row>
    <row r="138" spans="13:16" x14ac:dyDescent="0.25">
      <c r="M138" s="2">
        <v>136</v>
      </c>
      <c r="N138">
        <f t="shared" si="6"/>
        <v>98</v>
      </c>
      <c r="O138">
        <f t="shared" si="7"/>
        <v>82</v>
      </c>
      <c r="P138" s="19">
        <f t="shared" si="8"/>
        <v>45155</v>
      </c>
    </row>
    <row r="139" spans="13:16" x14ac:dyDescent="0.25">
      <c r="M139" s="2">
        <v>137</v>
      </c>
      <c r="N139">
        <f t="shared" si="6"/>
        <v>99</v>
      </c>
      <c r="O139">
        <f t="shared" si="7"/>
        <v>83</v>
      </c>
      <c r="P139" s="19">
        <f t="shared" si="8"/>
        <v>45156</v>
      </c>
    </row>
    <row r="140" spans="13:16" x14ac:dyDescent="0.25">
      <c r="M140" s="2">
        <v>138</v>
      </c>
      <c r="N140">
        <f t="shared" si="6"/>
        <v>99</v>
      </c>
      <c r="O140">
        <f t="shared" si="7"/>
        <v>83</v>
      </c>
      <c r="P140" s="19">
        <f t="shared" si="8"/>
        <v>45157</v>
      </c>
    </row>
    <row r="141" spans="13:16" x14ac:dyDescent="0.25">
      <c r="M141" s="2">
        <v>139</v>
      </c>
      <c r="N141">
        <f t="shared" si="6"/>
        <v>99</v>
      </c>
      <c r="O141">
        <f t="shared" si="7"/>
        <v>83</v>
      </c>
      <c r="P141" s="19">
        <f t="shared" si="8"/>
        <v>45158</v>
      </c>
    </row>
    <row r="142" spans="13:16" x14ac:dyDescent="0.25">
      <c r="M142" s="2">
        <v>140</v>
      </c>
      <c r="N142">
        <f t="shared" si="6"/>
        <v>100</v>
      </c>
      <c r="O142">
        <f t="shared" si="7"/>
        <v>84</v>
      </c>
      <c r="P142" s="19">
        <f t="shared" si="8"/>
        <v>45159</v>
      </c>
    </row>
    <row r="143" spans="13:16" x14ac:dyDescent="0.25">
      <c r="M143" s="2">
        <v>141</v>
      </c>
      <c r="N143">
        <f t="shared" si="6"/>
        <v>101</v>
      </c>
      <c r="O143">
        <f t="shared" si="7"/>
        <v>85</v>
      </c>
      <c r="P143" s="19">
        <f t="shared" si="8"/>
        <v>45160</v>
      </c>
    </row>
    <row r="144" spans="13:16" x14ac:dyDescent="0.25">
      <c r="M144" s="2">
        <v>142</v>
      </c>
      <c r="N144">
        <f t="shared" si="6"/>
        <v>102</v>
      </c>
      <c r="O144">
        <f t="shared" si="7"/>
        <v>86</v>
      </c>
      <c r="P144" s="19">
        <f t="shared" si="8"/>
        <v>45161</v>
      </c>
    </row>
    <row r="145" spans="13:16" x14ac:dyDescent="0.25">
      <c r="M145" s="2">
        <v>143</v>
      </c>
      <c r="N145">
        <f t="shared" si="6"/>
        <v>103</v>
      </c>
      <c r="O145">
        <f t="shared" si="7"/>
        <v>87</v>
      </c>
      <c r="P145" s="19">
        <f t="shared" si="8"/>
        <v>45162</v>
      </c>
    </row>
    <row r="146" spans="13:16" x14ac:dyDescent="0.25">
      <c r="M146" s="2">
        <v>144</v>
      </c>
      <c r="N146">
        <f t="shared" si="6"/>
        <v>104</v>
      </c>
      <c r="O146">
        <f t="shared" si="7"/>
        <v>88</v>
      </c>
      <c r="P146" s="19">
        <f t="shared" si="8"/>
        <v>45163</v>
      </c>
    </row>
    <row r="147" spans="13:16" x14ac:dyDescent="0.25">
      <c r="M147" s="2">
        <v>145</v>
      </c>
      <c r="N147">
        <f t="shared" si="6"/>
        <v>104</v>
      </c>
      <c r="O147">
        <f t="shared" si="7"/>
        <v>88</v>
      </c>
      <c r="P147" s="19">
        <f t="shared" si="8"/>
        <v>45164</v>
      </c>
    </row>
    <row r="148" spans="13:16" x14ac:dyDescent="0.25">
      <c r="M148" s="2">
        <v>146</v>
      </c>
      <c r="N148">
        <f t="shared" si="6"/>
        <v>104</v>
      </c>
      <c r="O148">
        <f t="shared" si="7"/>
        <v>88</v>
      </c>
      <c r="P148" s="19">
        <f t="shared" si="8"/>
        <v>45165</v>
      </c>
    </row>
    <row r="149" spans="13:16" x14ac:dyDescent="0.25">
      <c r="M149" s="2">
        <v>147</v>
      </c>
      <c r="N149">
        <f t="shared" si="6"/>
        <v>105</v>
      </c>
      <c r="O149">
        <f t="shared" si="7"/>
        <v>89</v>
      </c>
      <c r="P149" s="19">
        <f t="shared" si="8"/>
        <v>45166</v>
      </c>
    </row>
    <row r="150" spans="13:16" x14ac:dyDescent="0.25">
      <c r="M150" s="2">
        <v>148</v>
      </c>
      <c r="N150">
        <f t="shared" si="6"/>
        <v>106</v>
      </c>
      <c r="O150">
        <f t="shared" si="7"/>
        <v>90</v>
      </c>
      <c r="P150" s="19">
        <f t="shared" si="8"/>
        <v>45167</v>
      </c>
    </row>
    <row r="151" spans="13:16" x14ac:dyDescent="0.25">
      <c r="M151" s="2">
        <v>149</v>
      </c>
      <c r="N151">
        <f t="shared" si="6"/>
        <v>107</v>
      </c>
      <c r="O151">
        <f t="shared" si="7"/>
        <v>91</v>
      </c>
      <c r="P151" s="19">
        <f t="shared" si="8"/>
        <v>45168</v>
      </c>
    </row>
    <row r="152" spans="13:16" x14ac:dyDescent="0.25">
      <c r="M152" s="2">
        <v>150</v>
      </c>
      <c r="N152">
        <f t="shared" si="6"/>
        <v>108</v>
      </c>
      <c r="O152">
        <f t="shared" si="7"/>
        <v>92</v>
      </c>
      <c r="P152" s="19">
        <f t="shared" si="8"/>
        <v>45169</v>
      </c>
    </row>
    <row r="153" spans="13:16" x14ac:dyDescent="0.25">
      <c r="M153" s="2">
        <v>151</v>
      </c>
      <c r="N153">
        <f t="shared" si="6"/>
        <v>109</v>
      </c>
      <c r="O153">
        <f t="shared" si="7"/>
        <v>93</v>
      </c>
      <c r="P153" s="19">
        <f t="shared" si="8"/>
        <v>45170</v>
      </c>
    </row>
    <row r="154" spans="13:16" x14ac:dyDescent="0.25">
      <c r="M154" s="2">
        <v>152</v>
      </c>
      <c r="N154">
        <f t="shared" si="6"/>
        <v>109</v>
      </c>
      <c r="O154">
        <f t="shared" si="7"/>
        <v>93</v>
      </c>
      <c r="P154" s="19">
        <f t="shared" si="8"/>
        <v>45171</v>
      </c>
    </row>
    <row r="155" spans="13:16" x14ac:dyDescent="0.25">
      <c r="M155" s="2">
        <v>153</v>
      </c>
      <c r="N155">
        <f t="shared" si="6"/>
        <v>109</v>
      </c>
      <c r="O155">
        <f t="shared" si="7"/>
        <v>93</v>
      </c>
      <c r="P155" s="19">
        <f t="shared" si="8"/>
        <v>45172</v>
      </c>
    </row>
    <row r="156" spans="13:16" x14ac:dyDescent="0.25">
      <c r="M156" s="2">
        <v>154</v>
      </c>
      <c r="N156">
        <f t="shared" si="6"/>
        <v>110</v>
      </c>
      <c r="O156">
        <f t="shared" si="7"/>
        <v>94</v>
      </c>
      <c r="P156" s="19">
        <f t="shared" si="8"/>
        <v>45173</v>
      </c>
    </row>
    <row r="157" spans="13:16" x14ac:dyDescent="0.25">
      <c r="M157" s="2">
        <v>155</v>
      </c>
      <c r="N157">
        <f t="shared" si="6"/>
        <v>111</v>
      </c>
      <c r="O157">
        <f t="shared" si="7"/>
        <v>95</v>
      </c>
      <c r="P157" s="19">
        <f t="shared" si="8"/>
        <v>45174</v>
      </c>
    </row>
    <row r="158" spans="13:16" x14ac:dyDescent="0.25">
      <c r="M158" s="2">
        <v>156</v>
      </c>
      <c r="N158">
        <f t="shared" si="6"/>
        <v>112</v>
      </c>
      <c r="O158">
        <f t="shared" si="7"/>
        <v>96</v>
      </c>
      <c r="P158" s="19">
        <f t="shared" si="8"/>
        <v>45175</v>
      </c>
    </row>
    <row r="159" spans="13:16" x14ac:dyDescent="0.25">
      <c r="M159" s="2">
        <v>157</v>
      </c>
      <c r="N159">
        <f t="shared" si="6"/>
        <v>113</v>
      </c>
      <c r="O159">
        <f t="shared" si="7"/>
        <v>97</v>
      </c>
      <c r="P159" s="19">
        <f t="shared" si="8"/>
        <v>45176</v>
      </c>
    </row>
    <row r="160" spans="13:16" x14ac:dyDescent="0.25">
      <c r="M160" s="2">
        <v>158</v>
      </c>
      <c r="N160">
        <f t="shared" si="6"/>
        <v>114</v>
      </c>
      <c r="O160">
        <f t="shared" si="7"/>
        <v>98</v>
      </c>
      <c r="P160" s="19">
        <f t="shared" si="8"/>
        <v>45177</v>
      </c>
    </row>
    <row r="161" spans="13:16" x14ac:dyDescent="0.25">
      <c r="M161" s="2">
        <v>159</v>
      </c>
      <c r="N161">
        <f t="shared" si="6"/>
        <v>114</v>
      </c>
      <c r="O161">
        <f t="shared" si="7"/>
        <v>98</v>
      </c>
      <c r="P161" s="19">
        <f t="shared" si="8"/>
        <v>45178</v>
      </c>
    </row>
    <row r="162" spans="13:16" x14ac:dyDescent="0.25">
      <c r="M162" s="2">
        <v>160</v>
      </c>
      <c r="N162">
        <f t="shared" si="6"/>
        <v>114</v>
      </c>
      <c r="O162">
        <f t="shared" si="7"/>
        <v>98</v>
      </c>
      <c r="P162" s="19">
        <f t="shared" si="8"/>
        <v>45179</v>
      </c>
    </row>
    <row r="163" spans="13:16" x14ac:dyDescent="0.25">
      <c r="M163" s="2">
        <v>161</v>
      </c>
      <c r="N163">
        <f t="shared" si="6"/>
        <v>115</v>
      </c>
      <c r="O163">
        <f t="shared" si="7"/>
        <v>99</v>
      </c>
      <c r="P163" s="19">
        <f t="shared" si="8"/>
        <v>45180</v>
      </c>
    </row>
    <row r="164" spans="13:16" x14ac:dyDescent="0.25">
      <c r="M164" s="2">
        <v>162</v>
      </c>
      <c r="N164">
        <f t="shared" si="6"/>
        <v>116</v>
      </c>
      <c r="O164">
        <f t="shared" si="7"/>
        <v>100</v>
      </c>
      <c r="P164" s="19">
        <f t="shared" si="8"/>
        <v>45181</v>
      </c>
    </row>
    <row r="165" spans="13:16" x14ac:dyDescent="0.25">
      <c r="M165" s="2">
        <v>163</v>
      </c>
      <c r="N165">
        <f t="shared" si="6"/>
        <v>117</v>
      </c>
      <c r="O165">
        <f t="shared" si="7"/>
        <v>101</v>
      </c>
      <c r="P165" s="19">
        <f t="shared" si="8"/>
        <v>45182</v>
      </c>
    </row>
    <row r="166" spans="13:16" x14ac:dyDescent="0.25">
      <c r="M166" s="2">
        <v>164</v>
      </c>
      <c r="N166">
        <f t="shared" si="6"/>
        <v>118</v>
      </c>
      <c r="O166">
        <f t="shared" si="7"/>
        <v>101</v>
      </c>
      <c r="P166" s="19">
        <f t="shared" si="8"/>
        <v>45183</v>
      </c>
    </row>
    <row r="167" spans="13:16" x14ac:dyDescent="0.25">
      <c r="M167" s="2">
        <v>165</v>
      </c>
      <c r="N167">
        <f t="shared" si="6"/>
        <v>119</v>
      </c>
      <c r="O167">
        <f t="shared" si="7"/>
        <v>101</v>
      </c>
      <c r="P167" s="19">
        <f t="shared" si="8"/>
        <v>45184</v>
      </c>
    </row>
    <row r="168" spans="13:16" x14ac:dyDescent="0.25">
      <c r="M168" s="2">
        <v>166</v>
      </c>
      <c r="N168">
        <f t="shared" si="6"/>
        <v>119</v>
      </c>
      <c r="O168">
        <f t="shared" si="7"/>
        <v>101</v>
      </c>
      <c r="P168" s="19">
        <f t="shared" si="8"/>
        <v>45185</v>
      </c>
    </row>
    <row r="169" spans="13:16" x14ac:dyDescent="0.25">
      <c r="M169" s="2">
        <v>167</v>
      </c>
      <c r="N169">
        <f t="shared" si="6"/>
        <v>119</v>
      </c>
      <c r="O169">
        <f t="shared" si="7"/>
        <v>101</v>
      </c>
      <c r="P169" s="19">
        <f t="shared" si="8"/>
        <v>45186</v>
      </c>
    </row>
    <row r="170" spans="13:16" x14ac:dyDescent="0.25">
      <c r="M170" s="2">
        <v>168</v>
      </c>
      <c r="N170">
        <f t="shared" si="6"/>
        <v>120</v>
      </c>
      <c r="O170">
        <f t="shared" si="7"/>
        <v>102</v>
      </c>
      <c r="P170" s="19">
        <f t="shared" si="8"/>
        <v>45187</v>
      </c>
    </row>
    <row r="171" spans="13:16" x14ac:dyDescent="0.25">
      <c r="M171" s="2">
        <v>169</v>
      </c>
      <c r="N171">
        <f t="shared" si="6"/>
        <v>121</v>
      </c>
      <c r="O171">
        <f t="shared" si="7"/>
        <v>103</v>
      </c>
      <c r="P171" s="19">
        <f t="shared" si="8"/>
        <v>45188</v>
      </c>
    </row>
    <row r="172" spans="13:16" x14ac:dyDescent="0.25">
      <c r="M172" s="2">
        <v>170</v>
      </c>
      <c r="N172">
        <f t="shared" si="6"/>
        <v>122</v>
      </c>
      <c r="O172">
        <f t="shared" si="7"/>
        <v>104</v>
      </c>
      <c r="P172" s="19">
        <f t="shared" si="8"/>
        <v>45189</v>
      </c>
    </row>
    <row r="173" spans="13:16" x14ac:dyDescent="0.25">
      <c r="M173" s="2">
        <v>171</v>
      </c>
      <c r="N173">
        <f t="shared" si="6"/>
        <v>123</v>
      </c>
      <c r="O173">
        <f t="shared" si="7"/>
        <v>105</v>
      </c>
      <c r="P173" s="19">
        <f t="shared" si="8"/>
        <v>45190</v>
      </c>
    </row>
    <row r="174" spans="13:16" x14ac:dyDescent="0.25">
      <c r="M174" s="2">
        <v>172</v>
      </c>
      <c r="N174">
        <f t="shared" si="6"/>
        <v>124</v>
      </c>
      <c r="O174">
        <f t="shared" si="7"/>
        <v>106</v>
      </c>
      <c r="P174" s="19">
        <f t="shared" si="8"/>
        <v>45191</v>
      </c>
    </row>
    <row r="175" spans="13:16" x14ac:dyDescent="0.25">
      <c r="M175" s="2">
        <v>173</v>
      </c>
      <c r="N175">
        <f t="shared" si="6"/>
        <v>124</v>
      </c>
      <c r="O175">
        <f t="shared" si="7"/>
        <v>106</v>
      </c>
      <c r="P175" s="19">
        <f t="shared" si="8"/>
        <v>45192</v>
      </c>
    </row>
    <row r="176" spans="13:16" x14ac:dyDescent="0.25">
      <c r="M176" s="2">
        <v>174</v>
      </c>
      <c r="N176">
        <f t="shared" si="6"/>
        <v>124</v>
      </c>
      <c r="O176">
        <f t="shared" si="7"/>
        <v>106</v>
      </c>
      <c r="P176" s="19">
        <f t="shared" si="8"/>
        <v>45193</v>
      </c>
    </row>
    <row r="177" spans="13:16" x14ac:dyDescent="0.25">
      <c r="M177" s="2">
        <v>175</v>
      </c>
      <c r="N177">
        <f t="shared" si="6"/>
        <v>125</v>
      </c>
      <c r="O177">
        <f t="shared" si="7"/>
        <v>107</v>
      </c>
      <c r="P177" s="19">
        <f t="shared" si="8"/>
        <v>45194</v>
      </c>
    </row>
    <row r="178" spans="13:16" x14ac:dyDescent="0.25">
      <c r="M178" s="2">
        <v>176</v>
      </c>
      <c r="N178">
        <f t="shared" si="6"/>
        <v>126</v>
      </c>
      <c r="O178">
        <f t="shared" si="7"/>
        <v>108</v>
      </c>
      <c r="P178" s="19">
        <f t="shared" si="8"/>
        <v>45195</v>
      </c>
    </row>
    <row r="179" spans="13:16" x14ac:dyDescent="0.25">
      <c r="M179" s="2">
        <v>177</v>
      </c>
      <c r="N179">
        <f t="shared" si="6"/>
        <v>127</v>
      </c>
      <c r="O179">
        <f t="shared" si="7"/>
        <v>109</v>
      </c>
      <c r="P179" s="19">
        <f t="shared" si="8"/>
        <v>45196</v>
      </c>
    </row>
    <row r="180" spans="13:16" x14ac:dyDescent="0.25">
      <c r="M180" s="2">
        <v>178</v>
      </c>
      <c r="N180">
        <f t="shared" si="6"/>
        <v>128</v>
      </c>
      <c r="O180">
        <f t="shared" si="7"/>
        <v>110</v>
      </c>
      <c r="P180" s="19">
        <f t="shared" si="8"/>
        <v>45197</v>
      </c>
    </row>
    <row r="181" spans="13:16" x14ac:dyDescent="0.25">
      <c r="M181" s="2">
        <v>179</v>
      </c>
      <c r="N181">
        <f t="shared" si="6"/>
        <v>129</v>
      </c>
      <c r="O181">
        <f t="shared" si="7"/>
        <v>111</v>
      </c>
      <c r="P181" s="19">
        <f t="shared" si="8"/>
        <v>45198</v>
      </c>
    </row>
    <row r="182" spans="13:16" x14ac:dyDescent="0.25">
      <c r="M182" s="28">
        <v>180</v>
      </c>
      <c r="N182" s="29">
        <f t="shared" si="6"/>
        <v>129</v>
      </c>
      <c r="O182" s="29">
        <f t="shared" si="7"/>
        <v>111</v>
      </c>
      <c r="P182" s="19">
        <f t="shared" si="8"/>
        <v>45199</v>
      </c>
    </row>
    <row r="183" spans="13:16" x14ac:dyDescent="0.25">
      <c r="M183" s="2">
        <v>181</v>
      </c>
      <c r="N183">
        <f t="shared" si="6"/>
        <v>129</v>
      </c>
      <c r="O183">
        <f t="shared" si="7"/>
        <v>111</v>
      </c>
      <c r="P183" s="19">
        <f t="shared" si="8"/>
        <v>45200</v>
      </c>
    </row>
    <row r="184" spans="13:16" x14ac:dyDescent="0.25">
      <c r="M184" s="2">
        <v>182</v>
      </c>
      <c r="N184">
        <f t="shared" si="6"/>
        <v>130</v>
      </c>
      <c r="O184">
        <f t="shared" si="7"/>
        <v>112</v>
      </c>
      <c r="P184" s="19">
        <f t="shared" si="8"/>
        <v>45201</v>
      </c>
    </row>
    <row r="185" spans="13:16" x14ac:dyDescent="0.25">
      <c r="M185" s="2">
        <v>183</v>
      </c>
      <c r="N185">
        <f t="shared" si="6"/>
        <v>131</v>
      </c>
      <c r="O185">
        <f t="shared" si="7"/>
        <v>113</v>
      </c>
      <c r="P185" s="19">
        <f t="shared" si="8"/>
        <v>45202</v>
      </c>
    </row>
    <row r="186" spans="13:16" x14ac:dyDescent="0.25">
      <c r="M186" s="2">
        <v>184</v>
      </c>
      <c r="N186">
        <f t="shared" si="6"/>
        <v>132</v>
      </c>
      <c r="O186">
        <f t="shared" si="7"/>
        <v>114</v>
      </c>
      <c r="P186" s="19">
        <f t="shared" si="8"/>
        <v>45203</v>
      </c>
    </row>
    <row r="187" spans="13:16" x14ac:dyDescent="0.25">
      <c r="M187" s="2">
        <v>185</v>
      </c>
      <c r="N187">
        <f t="shared" si="6"/>
        <v>133</v>
      </c>
      <c r="O187">
        <f t="shared" si="7"/>
        <v>115</v>
      </c>
      <c r="P187" s="19">
        <f t="shared" si="8"/>
        <v>45204</v>
      </c>
    </row>
    <row r="188" spans="13:16" x14ac:dyDescent="0.25">
      <c r="M188" s="2">
        <v>186</v>
      </c>
      <c r="N188">
        <f t="shared" si="6"/>
        <v>134</v>
      </c>
      <c r="O188">
        <f t="shared" si="7"/>
        <v>116</v>
      </c>
      <c r="P188" s="19">
        <f t="shared" si="8"/>
        <v>45205</v>
      </c>
    </row>
    <row r="189" spans="13:16" x14ac:dyDescent="0.25">
      <c r="M189" s="2">
        <v>187</v>
      </c>
      <c r="N189">
        <f t="shared" si="6"/>
        <v>134</v>
      </c>
      <c r="O189">
        <f t="shared" si="7"/>
        <v>116</v>
      </c>
      <c r="P189" s="19">
        <f t="shared" si="8"/>
        <v>45206</v>
      </c>
    </row>
    <row r="190" spans="13:16" x14ac:dyDescent="0.25">
      <c r="M190" s="2">
        <v>188</v>
      </c>
      <c r="N190">
        <f t="shared" si="6"/>
        <v>134</v>
      </c>
      <c r="O190">
        <f t="shared" si="7"/>
        <v>116</v>
      </c>
      <c r="P190" s="19">
        <f t="shared" si="8"/>
        <v>45207</v>
      </c>
    </row>
    <row r="191" spans="13:16" x14ac:dyDescent="0.25">
      <c r="M191" s="2">
        <v>189</v>
      </c>
      <c r="N191">
        <f t="shared" si="6"/>
        <v>135</v>
      </c>
      <c r="O191">
        <f t="shared" si="7"/>
        <v>117</v>
      </c>
      <c r="P191" s="19">
        <f t="shared" si="8"/>
        <v>45208</v>
      </c>
    </row>
    <row r="192" spans="13:16" x14ac:dyDescent="0.25">
      <c r="M192" s="2">
        <v>190</v>
      </c>
      <c r="N192">
        <f t="shared" si="6"/>
        <v>136</v>
      </c>
      <c r="O192">
        <f t="shared" si="7"/>
        <v>118</v>
      </c>
      <c r="P192" s="19">
        <f t="shared" si="8"/>
        <v>45209</v>
      </c>
    </row>
    <row r="193" spans="13:16" x14ac:dyDescent="0.25">
      <c r="M193" s="2">
        <v>191</v>
      </c>
      <c r="N193">
        <f t="shared" si="6"/>
        <v>137</v>
      </c>
      <c r="O193">
        <f t="shared" si="7"/>
        <v>119</v>
      </c>
      <c r="P193" s="19">
        <f t="shared" si="8"/>
        <v>45210</v>
      </c>
    </row>
    <row r="194" spans="13:16" x14ac:dyDescent="0.25">
      <c r="M194" s="2">
        <v>192</v>
      </c>
      <c r="N194">
        <f t="shared" si="6"/>
        <v>138</v>
      </c>
      <c r="O194">
        <f t="shared" si="7"/>
        <v>120</v>
      </c>
      <c r="P194" s="19">
        <f t="shared" si="8"/>
        <v>45211</v>
      </c>
    </row>
    <row r="195" spans="13:16" x14ac:dyDescent="0.25">
      <c r="M195" s="2">
        <v>193</v>
      </c>
      <c r="N195">
        <f t="shared" ref="N195:N258" si="9">IF(AND(WEEKDAY(P195)&gt;1,WEEKDAY(P195)&lt;7),N194+1,N194)</f>
        <v>139</v>
      </c>
      <c r="O195">
        <f t="shared" si="7"/>
        <v>121</v>
      </c>
      <c r="P195" s="19">
        <f t="shared" si="8"/>
        <v>45212</v>
      </c>
    </row>
    <row r="196" spans="13:16" x14ac:dyDescent="0.25">
      <c r="M196" s="2">
        <v>194</v>
      </c>
      <c r="N196">
        <f t="shared" si="9"/>
        <v>139</v>
      </c>
      <c r="O196">
        <f t="shared" ref="O196:O259" si="10">IF(AND(WEEKDAY(P196)&gt;1,WEEKDAY(P196)&lt;7,IF(COUNTIF($A$2:$A$44,P196)&gt;0,FALSE,TRUE)),O195+1,O195)</f>
        <v>121</v>
      </c>
      <c r="P196" s="19">
        <f t="shared" ref="P196:P259" si="11">+P195+1</f>
        <v>45213</v>
      </c>
    </row>
    <row r="197" spans="13:16" x14ac:dyDescent="0.25">
      <c r="M197" s="2">
        <v>195</v>
      </c>
      <c r="N197">
        <f t="shared" si="9"/>
        <v>139</v>
      </c>
      <c r="O197">
        <f t="shared" si="10"/>
        <v>121</v>
      </c>
      <c r="P197" s="19">
        <f t="shared" si="11"/>
        <v>45214</v>
      </c>
    </row>
    <row r="198" spans="13:16" x14ac:dyDescent="0.25">
      <c r="M198" s="2">
        <v>196</v>
      </c>
      <c r="N198">
        <f t="shared" si="9"/>
        <v>140</v>
      </c>
      <c r="O198">
        <f t="shared" si="10"/>
        <v>122</v>
      </c>
      <c r="P198" s="19">
        <f t="shared" si="11"/>
        <v>45215</v>
      </c>
    </row>
    <row r="199" spans="13:16" x14ac:dyDescent="0.25">
      <c r="M199" s="2">
        <v>197</v>
      </c>
      <c r="N199">
        <f t="shared" si="9"/>
        <v>141</v>
      </c>
      <c r="O199">
        <f t="shared" si="10"/>
        <v>123</v>
      </c>
      <c r="P199" s="19">
        <f t="shared" si="11"/>
        <v>45216</v>
      </c>
    </row>
    <row r="200" spans="13:16" x14ac:dyDescent="0.25">
      <c r="M200" s="2">
        <v>198</v>
      </c>
      <c r="N200">
        <f t="shared" si="9"/>
        <v>142</v>
      </c>
      <c r="O200">
        <f t="shared" si="10"/>
        <v>124</v>
      </c>
      <c r="P200" s="19">
        <f t="shared" si="11"/>
        <v>45217</v>
      </c>
    </row>
    <row r="201" spans="13:16" x14ac:dyDescent="0.25">
      <c r="M201" s="2">
        <v>199</v>
      </c>
      <c r="N201">
        <f t="shared" si="9"/>
        <v>143</v>
      </c>
      <c r="O201">
        <f t="shared" si="10"/>
        <v>125</v>
      </c>
      <c r="P201" s="19">
        <f t="shared" si="11"/>
        <v>45218</v>
      </c>
    </row>
    <row r="202" spans="13:16" x14ac:dyDescent="0.25">
      <c r="M202" s="2">
        <v>200</v>
      </c>
      <c r="N202">
        <f t="shared" si="9"/>
        <v>144</v>
      </c>
      <c r="O202">
        <f t="shared" si="10"/>
        <v>126</v>
      </c>
      <c r="P202" s="19">
        <f t="shared" si="11"/>
        <v>45219</v>
      </c>
    </row>
    <row r="203" spans="13:16" x14ac:dyDescent="0.25">
      <c r="M203" s="2">
        <v>201</v>
      </c>
      <c r="N203">
        <f t="shared" si="9"/>
        <v>144</v>
      </c>
      <c r="O203">
        <f t="shared" si="10"/>
        <v>126</v>
      </c>
      <c r="P203" s="19">
        <f t="shared" si="11"/>
        <v>45220</v>
      </c>
    </row>
    <row r="204" spans="13:16" x14ac:dyDescent="0.25">
      <c r="M204" s="2">
        <v>202</v>
      </c>
      <c r="N204">
        <f t="shared" si="9"/>
        <v>144</v>
      </c>
      <c r="O204">
        <f t="shared" si="10"/>
        <v>126</v>
      </c>
      <c r="P204" s="19">
        <f t="shared" si="11"/>
        <v>45221</v>
      </c>
    </row>
    <row r="205" spans="13:16" x14ac:dyDescent="0.25">
      <c r="M205" s="2">
        <v>203</v>
      </c>
      <c r="N205">
        <f t="shared" si="9"/>
        <v>145</v>
      </c>
      <c r="O205">
        <f t="shared" si="10"/>
        <v>127</v>
      </c>
      <c r="P205" s="19">
        <f t="shared" si="11"/>
        <v>45222</v>
      </c>
    </row>
    <row r="206" spans="13:16" x14ac:dyDescent="0.25">
      <c r="M206" s="2">
        <v>204</v>
      </c>
      <c r="N206">
        <f t="shared" si="9"/>
        <v>146</v>
      </c>
      <c r="O206">
        <f t="shared" si="10"/>
        <v>128</v>
      </c>
      <c r="P206" s="19">
        <f t="shared" si="11"/>
        <v>45223</v>
      </c>
    </row>
    <row r="207" spans="13:16" x14ac:dyDescent="0.25">
      <c r="M207" s="2">
        <v>205</v>
      </c>
      <c r="N207">
        <f t="shared" si="9"/>
        <v>147</v>
      </c>
      <c r="O207">
        <f t="shared" si="10"/>
        <v>129</v>
      </c>
      <c r="P207" s="19">
        <f t="shared" si="11"/>
        <v>45224</v>
      </c>
    </row>
    <row r="208" spans="13:16" x14ac:dyDescent="0.25">
      <c r="M208" s="2">
        <v>206</v>
      </c>
      <c r="N208">
        <f t="shared" si="9"/>
        <v>148</v>
      </c>
      <c r="O208">
        <f t="shared" si="10"/>
        <v>130</v>
      </c>
      <c r="P208" s="19">
        <f t="shared" si="11"/>
        <v>45225</v>
      </c>
    </row>
    <row r="209" spans="13:16" x14ac:dyDescent="0.25">
      <c r="M209" s="2">
        <v>207</v>
      </c>
      <c r="N209">
        <f t="shared" si="9"/>
        <v>149</v>
      </c>
      <c r="O209">
        <f t="shared" si="10"/>
        <v>131</v>
      </c>
      <c r="P209" s="19">
        <f t="shared" si="11"/>
        <v>45226</v>
      </c>
    </row>
    <row r="210" spans="13:16" x14ac:dyDescent="0.25">
      <c r="M210" s="2">
        <v>208</v>
      </c>
      <c r="N210">
        <f t="shared" si="9"/>
        <v>149</v>
      </c>
      <c r="O210">
        <f t="shared" si="10"/>
        <v>131</v>
      </c>
      <c r="P210" s="19">
        <f t="shared" si="11"/>
        <v>45227</v>
      </c>
    </row>
    <row r="211" spans="13:16" x14ac:dyDescent="0.25">
      <c r="M211" s="2">
        <v>209</v>
      </c>
      <c r="N211">
        <f t="shared" si="9"/>
        <v>149</v>
      </c>
      <c r="O211">
        <f t="shared" si="10"/>
        <v>131</v>
      </c>
      <c r="P211" s="19">
        <f t="shared" si="11"/>
        <v>45228</v>
      </c>
    </row>
    <row r="212" spans="13:16" x14ac:dyDescent="0.25">
      <c r="M212" s="2">
        <v>210</v>
      </c>
      <c r="N212">
        <f t="shared" si="9"/>
        <v>150</v>
      </c>
      <c r="O212">
        <f t="shared" si="10"/>
        <v>132</v>
      </c>
      <c r="P212" s="19">
        <f t="shared" si="11"/>
        <v>45229</v>
      </c>
    </row>
    <row r="213" spans="13:16" x14ac:dyDescent="0.25">
      <c r="M213" s="2">
        <v>211</v>
      </c>
      <c r="N213">
        <f t="shared" si="9"/>
        <v>151</v>
      </c>
      <c r="O213">
        <f t="shared" si="10"/>
        <v>133</v>
      </c>
      <c r="P213" s="19">
        <f t="shared" si="11"/>
        <v>45230</v>
      </c>
    </row>
    <row r="214" spans="13:16" x14ac:dyDescent="0.25">
      <c r="M214" s="2">
        <v>212</v>
      </c>
      <c r="N214">
        <f t="shared" si="9"/>
        <v>152</v>
      </c>
      <c r="O214">
        <f t="shared" si="10"/>
        <v>133</v>
      </c>
      <c r="P214" s="19">
        <f t="shared" si="11"/>
        <v>45231</v>
      </c>
    </row>
    <row r="215" spans="13:16" x14ac:dyDescent="0.25">
      <c r="M215" s="2">
        <v>213</v>
      </c>
      <c r="N215">
        <f t="shared" si="9"/>
        <v>153</v>
      </c>
      <c r="O215">
        <f t="shared" si="10"/>
        <v>133</v>
      </c>
      <c r="P215" s="19">
        <f t="shared" si="11"/>
        <v>45232</v>
      </c>
    </row>
    <row r="216" spans="13:16" x14ac:dyDescent="0.25">
      <c r="M216" s="2">
        <v>214</v>
      </c>
      <c r="N216">
        <f t="shared" si="9"/>
        <v>154</v>
      </c>
      <c r="O216">
        <f t="shared" si="10"/>
        <v>134</v>
      </c>
      <c r="P216" s="19">
        <f t="shared" si="11"/>
        <v>45233</v>
      </c>
    </row>
    <row r="217" spans="13:16" x14ac:dyDescent="0.25">
      <c r="M217" s="2">
        <v>215</v>
      </c>
      <c r="N217">
        <f t="shared" si="9"/>
        <v>154</v>
      </c>
      <c r="O217">
        <f t="shared" si="10"/>
        <v>134</v>
      </c>
      <c r="P217" s="19">
        <f t="shared" si="11"/>
        <v>45234</v>
      </c>
    </row>
    <row r="218" spans="13:16" x14ac:dyDescent="0.25">
      <c r="M218" s="2">
        <v>216</v>
      </c>
      <c r="N218">
        <f t="shared" si="9"/>
        <v>154</v>
      </c>
      <c r="O218">
        <f t="shared" si="10"/>
        <v>134</v>
      </c>
      <c r="P218" s="19">
        <f t="shared" si="11"/>
        <v>45235</v>
      </c>
    </row>
    <row r="219" spans="13:16" x14ac:dyDescent="0.25">
      <c r="M219" s="2">
        <v>217</v>
      </c>
      <c r="N219">
        <f t="shared" si="9"/>
        <v>155</v>
      </c>
      <c r="O219">
        <f t="shared" si="10"/>
        <v>135</v>
      </c>
      <c r="P219" s="19">
        <f t="shared" si="11"/>
        <v>45236</v>
      </c>
    </row>
    <row r="220" spans="13:16" x14ac:dyDescent="0.25">
      <c r="M220" s="2">
        <v>218</v>
      </c>
      <c r="N220">
        <f t="shared" si="9"/>
        <v>156</v>
      </c>
      <c r="O220">
        <f t="shared" si="10"/>
        <v>136</v>
      </c>
      <c r="P220" s="19">
        <f t="shared" si="11"/>
        <v>45237</v>
      </c>
    </row>
    <row r="221" spans="13:16" x14ac:dyDescent="0.25">
      <c r="M221" s="2">
        <v>219</v>
      </c>
      <c r="N221">
        <f t="shared" si="9"/>
        <v>157</v>
      </c>
      <c r="O221">
        <f t="shared" si="10"/>
        <v>137</v>
      </c>
      <c r="P221" s="19">
        <f t="shared" si="11"/>
        <v>45238</v>
      </c>
    </row>
    <row r="222" spans="13:16" x14ac:dyDescent="0.25">
      <c r="M222" s="2">
        <v>220</v>
      </c>
      <c r="N222">
        <f t="shared" si="9"/>
        <v>158</v>
      </c>
      <c r="O222">
        <f t="shared" si="10"/>
        <v>138</v>
      </c>
      <c r="P222" s="19">
        <f t="shared" si="11"/>
        <v>45239</v>
      </c>
    </row>
    <row r="223" spans="13:16" x14ac:dyDescent="0.25">
      <c r="M223" s="2">
        <v>221</v>
      </c>
      <c r="N223">
        <f t="shared" si="9"/>
        <v>159</v>
      </c>
      <c r="O223">
        <f t="shared" si="10"/>
        <v>139</v>
      </c>
      <c r="P223" s="19">
        <f t="shared" si="11"/>
        <v>45240</v>
      </c>
    </row>
    <row r="224" spans="13:16" x14ac:dyDescent="0.25">
      <c r="M224" s="2">
        <v>222</v>
      </c>
      <c r="N224">
        <f t="shared" si="9"/>
        <v>159</v>
      </c>
      <c r="O224">
        <f t="shared" si="10"/>
        <v>139</v>
      </c>
      <c r="P224" s="19">
        <f t="shared" si="11"/>
        <v>45241</v>
      </c>
    </row>
    <row r="225" spans="13:16" x14ac:dyDescent="0.25">
      <c r="M225" s="2">
        <v>223</v>
      </c>
      <c r="N225">
        <f t="shared" si="9"/>
        <v>159</v>
      </c>
      <c r="O225">
        <f t="shared" si="10"/>
        <v>139</v>
      </c>
      <c r="P225" s="19">
        <f t="shared" si="11"/>
        <v>45242</v>
      </c>
    </row>
    <row r="226" spans="13:16" x14ac:dyDescent="0.25">
      <c r="M226" s="2">
        <v>224</v>
      </c>
      <c r="N226">
        <f t="shared" si="9"/>
        <v>160</v>
      </c>
      <c r="O226">
        <f t="shared" si="10"/>
        <v>140</v>
      </c>
      <c r="P226" s="19">
        <f t="shared" si="11"/>
        <v>45243</v>
      </c>
    </row>
    <row r="227" spans="13:16" x14ac:dyDescent="0.25">
      <c r="M227" s="2">
        <v>225</v>
      </c>
      <c r="N227">
        <f t="shared" si="9"/>
        <v>161</v>
      </c>
      <c r="O227">
        <f t="shared" si="10"/>
        <v>141</v>
      </c>
      <c r="P227" s="19">
        <f t="shared" si="11"/>
        <v>45244</v>
      </c>
    </row>
    <row r="228" spans="13:16" x14ac:dyDescent="0.25">
      <c r="M228" s="2">
        <v>226</v>
      </c>
      <c r="N228">
        <f t="shared" si="9"/>
        <v>162</v>
      </c>
      <c r="O228">
        <f t="shared" si="10"/>
        <v>142</v>
      </c>
      <c r="P228" s="19">
        <f t="shared" si="11"/>
        <v>45245</v>
      </c>
    </row>
    <row r="229" spans="13:16" x14ac:dyDescent="0.25">
      <c r="M229" s="2">
        <v>227</v>
      </c>
      <c r="N229">
        <f t="shared" si="9"/>
        <v>163</v>
      </c>
      <c r="O229">
        <f t="shared" si="10"/>
        <v>143</v>
      </c>
      <c r="P229" s="19">
        <f t="shared" si="11"/>
        <v>45246</v>
      </c>
    </row>
    <row r="230" spans="13:16" x14ac:dyDescent="0.25">
      <c r="M230" s="2">
        <v>228</v>
      </c>
      <c r="N230">
        <f t="shared" si="9"/>
        <v>164</v>
      </c>
      <c r="O230">
        <f t="shared" si="10"/>
        <v>144</v>
      </c>
      <c r="P230" s="19">
        <f t="shared" si="11"/>
        <v>45247</v>
      </c>
    </row>
    <row r="231" spans="13:16" x14ac:dyDescent="0.25">
      <c r="M231" s="2">
        <v>229</v>
      </c>
      <c r="N231">
        <f t="shared" si="9"/>
        <v>164</v>
      </c>
      <c r="O231">
        <f t="shared" si="10"/>
        <v>144</v>
      </c>
      <c r="P231" s="19">
        <f t="shared" si="11"/>
        <v>45248</v>
      </c>
    </row>
    <row r="232" spans="13:16" x14ac:dyDescent="0.25">
      <c r="M232" s="2">
        <v>230</v>
      </c>
      <c r="N232">
        <f t="shared" si="9"/>
        <v>164</v>
      </c>
      <c r="O232">
        <f t="shared" si="10"/>
        <v>144</v>
      </c>
      <c r="P232" s="19">
        <f t="shared" si="11"/>
        <v>45249</v>
      </c>
    </row>
    <row r="233" spans="13:16" x14ac:dyDescent="0.25">
      <c r="M233" s="2">
        <v>231</v>
      </c>
      <c r="N233">
        <f t="shared" si="9"/>
        <v>165</v>
      </c>
      <c r="O233">
        <f t="shared" si="10"/>
        <v>144</v>
      </c>
      <c r="P233" s="19">
        <f t="shared" si="11"/>
        <v>45250</v>
      </c>
    </row>
    <row r="234" spans="13:16" x14ac:dyDescent="0.25">
      <c r="M234" s="2">
        <v>232</v>
      </c>
      <c r="N234">
        <f t="shared" si="9"/>
        <v>166</v>
      </c>
      <c r="O234">
        <f t="shared" si="10"/>
        <v>145</v>
      </c>
      <c r="P234" s="19">
        <f t="shared" si="11"/>
        <v>45251</v>
      </c>
    </row>
    <row r="235" spans="13:16" x14ac:dyDescent="0.25">
      <c r="M235" s="2">
        <v>233</v>
      </c>
      <c r="N235">
        <f t="shared" si="9"/>
        <v>167</v>
      </c>
      <c r="O235">
        <f t="shared" si="10"/>
        <v>146</v>
      </c>
      <c r="P235" s="19">
        <f t="shared" si="11"/>
        <v>45252</v>
      </c>
    </row>
    <row r="236" spans="13:16" x14ac:dyDescent="0.25">
      <c r="M236" s="2">
        <v>234</v>
      </c>
      <c r="N236">
        <f t="shared" si="9"/>
        <v>168</v>
      </c>
      <c r="O236">
        <f t="shared" si="10"/>
        <v>147</v>
      </c>
      <c r="P236" s="19">
        <f t="shared" si="11"/>
        <v>45253</v>
      </c>
    </row>
    <row r="237" spans="13:16" x14ac:dyDescent="0.25">
      <c r="M237" s="2">
        <v>235</v>
      </c>
      <c r="N237">
        <f t="shared" si="9"/>
        <v>169</v>
      </c>
      <c r="O237">
        <f t="shared" si="10"/>
        <v>148</v>
      </c>
      <c r="P237" s="19">
        <f t="shared" si="11"/>
        <v>45254</v>
      </c>
    </row>
    <row r="238" spans="13:16" x14ac:dyDescent="0.25">
      <c r="M238" s="2">
        <v>236</v>
      </c>
      <c r="N238">
        <f t="shared" si="9"/>
        <v>169</v>
      </c>
      <c r="O238">
        <f t="shared" si="10"/>
        <v>148</v>
      </c>
      <c r="P238" s="19">
        <f t="shared" si="11"/>
        <v>45255</v>
      </c>
    </row>
    <row r="239" spans="13:16" x14ac:dyDescent="0.25">
      <c r="M239" s="2">
        <v>237</v>
      </c>
      <c r="N239">
        <f t="shared" si="9"/>
        <v>169</v>
      </c>
      <c r="O239">
        <f t="shared" si="10"/>
        <v>148</v>
      </c>
      <c r="P239" s="19">
        <f t="shared" si="11"/>
        <v>45256</v>
      </c>
    </row>
    <row r="240" spans="13:16" x14ac:dyDescent="0.25">
      <c r="M240" s="2">
        <v>238</v>
      </c>
      <c r="N240">
        <f t="shared" si="9"/>
        <v>170</v>
      </c>
      <c r="O240">
        <f t="shared" si="10"/>
        <v>149</v>
      </c>
      <c r="P240" s="19">
        <f t="shared" si="11"/>
        <v>45257</v>
      </c>
    </row>
    <row r="241" spans="13:16" x14ac:dyDescent="0.25">
      <c r="M241" s="2">
        <v>239</v>
      </c>
      <c r="N241">
        <f t="shared" si="9"/>
        <v>171</v>
      </c>
      <c r="O241">
        <f t="shared" si="10"/>
        <v>150</v>
      </c>
      <c r="P241" s="19">
        <f t="shared" si="11"/>
        <v>45258</v>
      </c>
    </row>
    <row r="242" spans="13:16" x14ac:dyDescent="0.25">
      <c r="M242" s="2">
        <v>240</v>
      </c>
      <c r="N242">
        <f t="shared" si="9"/>
        <v>172</v>
      </c>
      <c r="O242">
        <f t="shared" si="10"/>
        <v>151</v>
      </c>
      <c r="P242" s="19">
        <f t="shared" si="11"/>
        <v>45259</v>
      </c>
    </row>
    <row r="243" spans="13:16" x14ac:dyDescent="0.25">
      <c r="M243" s="2">
        <v>241</v>
      </c>
      <c r="N243">
        <f t="shared" si="9"/>
        <v>173</v>
      </c>
      <c r="O243">
        <f t="shared" si="10"/>
        <v>152</v>
      </c>
      <c r="P243" s="19">
        <f t="shared" si="11"/>
        <v>45260</v>
      </c>
    </row>
    <row r="244" spans="13:16" x14ac:dyDescent="0.25">
      <c r="M244" s="2">
        <v>242</v>
      </c>
      <c r="N244">
        <f t="shared" si="9"/>
        <v>174</v>
      </c>
      <c r="O244">
        <f t="shared" si="10"/>
        <v>153</v>
      </c>
      <c r="P244" s="19">
        <f t="shared" si="11"/>
        <v>45261</v>
      </c>
    </row>
    <row r="245" spans="13:16" x14ac:dyDescent="0.25">
      <c r="M245" s="2">
        <v>243</v>
      </c>
      <c r="N245">
        <f t="shared" si="9"/>
        <v>174</v>
      </c>
      <c r="O245">
        <f t="shared" si="10"/>
        <v>153</v>
      </c>
      <c r="P245" s="19">
        <f t="shared" si="11"/>
        <v>45262</v>
      </c>
    </row>
    <row r="246" spans="13:16" x14ac:dyDescent="0.25">
      <c r="M246" s="2">
        <v>244</v>
      </c>
      <c r="N246">
        <f t="shared" si="9"/>
        <v>174</v>
      </c>
      <c r="O246">
        <f t="shared" si="10"/>
        <v>153</v>
      </c>
      <c r="P246" s="19">
        <f t="shared" si="11"/>
        <v>45263</v>
      </c>
    </row>
    <row r="247" spans="13:16" x14ac:dyDescent="0.25">
      <c r="M247" s="2">
        <v>245</v>
      </c>
      <c r="N247">
        <f t="shared" si="9"/>
        <v>175</v>
      </c>
      <c r="O247">
        <f t="shared" si="10"/>
        <v>154</v>
      </c>
      <c r="P247" s="19">
        <f t="shared" si="11"/>
        <v>45264</v>
      </c>
    </row>
    <row r="248" spans="13:16" x14ac:dyDescent="0.25">
      <c r="M248" s="2">
        <v>246</v>
      </c>
      <c r="N248">
        <f t="shared" si="9"/>
        <v>176</v>
      </c>
      <c r="O248">
        <f t="shared" si="10"/>
        <v>155</v>
      </c>
      <c r="P248" s="19">
        <f t="shared" si="11"/>
        <v>45265</v>
      </c>
    </row>
    <row r="249" spans="13:16" x14ac:dyDescent="0.25">
      <c r="M249" s="2">
        <v>247</v>
      </c>
      <c r="N249">
        <f t="shared" si="9"/>
        <v>177</v>
      </c>
      <c r="O249">
        <f t="shared" si="10"/>
        <v>156</v>
      </c>
      <c r="P249" s="19">
        <f t="shared" si="11"/>
        <v>45266</v>
      </c>
    </row>
    <row r="250" spans="13:16" x14ac:dyDescent="0.25">
      <c r="M250" s="2">
        <v>248</v>
      </c>
      <c r="N250">
        <f t="shared" si="9"/>
        <v>178</v>
      </c>
      <c r="O250">
        <f t="shared" si="10"/>
        <v>157</v>
      </c>
      <c r="P250" s="19">
        <f t="shared" si="11"/>
        <v>45267</v>
      </c>
    </row>
    <row r="251" spans="13:16" x14ac:dyDescent="0.25">
      <c r="M251" s="2">
        <v>249</v>
      </c>
      <c r="N251">
        <f t="shared" si="9"/>
        <v>179</v>
      </c>
      <c r="O251">
        <f t="shared" si="10"/>
        <v>158</v>
      </c>
      <c r="P251" s="19">
        <f t="shared" si="11"/>
        <v>45268</v>
      </c>
    </row>
    <row r="252" spans="13:16" x14ac:dyDescent="0.25">
      <c r="M252" s="28">
        <v>250</v>
      </c>
      <c r="N252" s="29">
        <f t="shared" si="9"/>
        <v>179</v>
      </c>
      <c r="O252" s="29">
        <f t="shared" si="10"/>
        <v>158</v>
      </c>
      <c r="P252" s="19">
        <f t="shared" si="11"/>
        <v>45269</v>
      </c>
    </row>
    <row r="253" spans="13:16" x14ac:dyDescent="0.25">
      <c r="M253" s="2">
        <v>251</v>
      </c>
      <c r="N253">
        <f t="shared" si="9"/>
        <v>179</v>
      </c>
      <c r="O253">
        <f t="shared" si="10"/>
        <v>158</v>
      </c>
      <c r="P253" s="19">
        <f t="shared" si="11"/>
        <v>45270</v>
      </c>
    </row>
    <row r="254" spans="13:16" x14ac:dyDescent="0.25">
      <c r="M254" s="2">
        <v>252</v>
      </c>
      <c r="N254">
        <f t="shared" si="9"/>
        <v>180</v>
      </c>
      <c r="O254">
        <f t="shared" si="10"/>
        <v>159</v>
      </c>
      <c r="P254" s="19">
        <f t="shared" si="11"/>
        <v>45271</v>
      </c>
    </row>
    <row r="255" spans="13:16" x14ac:dyDescent="0.25">
      <c r="M255" s="2">
        <v>253</v>
      </c>
      <c r="N255">
        <f t="shared" si="9"/>
        <v>181</v>
      </c>
      <c r="O255">
        <f t="shared" si="10"/>
        <v>160</v>
      </c>
      <c r="P255" s="19">
        <f t="shared" si="11"/>
        <v>45272</v>
      </c>
    </row>
    <row r="256" spans="13:16" x14ac:dyDescent="0.25">
      <c r="M256" s="2">
        <v>254</v>
      </c>
      <c r="N256">
        <f t="shared" si="9"/>
        <v>182</v>
      </c>
      <c r="O256">
        <f t="shared" si="10"/>
        <v>161</v>
      </c>
      <c r="P256" s="19">
        <f t="shared" si="11"/>
        <v>45273</v>
      </c>
    </row>
    <row r="257" spans="13:16" x14ac:dyDescent="0.25">
      <c r="M257" s="2">
        <v>255</v>
      </c>
      <c r="N257">
        <f t="shared" si="9"/>
        <v>183</v>
      </c>
      <c r="O257">
        <f t="shared" si="10"/>
        <v>162</v>
      </c>
      <c r="P257" s="19">
        <f t="shared" si="11"/>
        <v>45274</v>
      </c>
    </row>
    <row r="258" spans="13:16" x14ac:dyDescent="0.25">
      <c r="M258" s="2">
        <v>256</v>
      </c>
      <c r="N258">
        <f t="shared" si="9"/>
        <v>184</v>
      </c>
      <c r="O258">
        <f t="shared" si="10"/>
        <v>162</v>
      </c>
      <c r="P258" s="19">
        <f t="shared" si="11"/>
        <v>45275</v>
      </c>
    </row>
    <row r="259" spans="13:16" x14ac:dyDescent="0.25">
      <c r="M259" s="2">
        <v>257</v>
      </c>
      <c r="N259">
        <f t="shared" ref="N259:N322" si="12">IF(AND(WEEKDAY(P259)&gt;1,WEEKDAY(P259)&lt;7),N258+1,N258)</f>
        <v>184</v>
      </c>
      <c r="O259">
        <f t="shared" si="10"/>
        <v>162</v>
      </c>
      <c r="P259" s="19">
        <f t="shared" si="11"/>
        <v>45276</v>
      </c>
    </row>
    <row r="260" spans="13:16" x14ac:dyDescent="0.25">
      <c r="M260" s="2">
        <v>258</v>
      </c>
      <c r="N260">
        <f t="shared" si="12"/>
        <v>184</v>
      </c>
      <c r="O260">
        <f t="shared" ref="O260:O323" si="13">IF(AND(WEEKDAY(P260)&gt;1,WEEKDAY(P260)&lt;7,IF(COUNTIF($A$2:$A$44,P260)&gt;0,FALSE,TRUE)),O259+1,O259)</f>
        <v>162</v>
      </c>
      <c r="P260" s="19">
        <f t="shared" ref="P260:P323" si="14">+P259+1</f>
        <v>45277</v>
      </c>
    </row>
    <row r="261" spans="13:16" x14ac:dyDescent="0.25">
      <c r="M261" s="2">
        <v>259</v>
      </c>
      <c r="N261">
        <f t="shared" si="12"/>
        <v>185</v>
      </c>
      <c r="O261">
        <f t="shared" si="13"/>
        <v>162</v>
      </c>
      <c r="P261" s="19">
        <f t="shared" si="14"/>
        <v>45278</v>
      </c>
    </row>
    <row r="262" spans="13:16" x14ac:dyDescent="0.25">
      <c r="M262" s="2">
        <v>260</v>
      </c>
      <c r="N262">
        <f t="shared" si="12"/>
        <v>186</v>
      </c>
      <c r="O262">
        <f t="shared" si="13"/>
        <v>162</v>
      </c>
      <c r="P262" s="19">
        <f t="shared" si="14"/>
        <v>45279</v>
      </c>
    </row>
    <row r="263" spans="13:16" x14ac:dyDescent="0.25">
      <c r="M263" s="2">
        <v>261</v>
      </c>
      <c r="N263">
        <f t="shared" si="12"/>
        <v>187</v>
      </c>
      <c r="O263">
        <f t="shared" si="13"/>
        <v>162</v>
      </c>
      <c r="P263" s="19">
        <f t="shared" si="14"/>
        <v>45280</v>
      </c>
    </row>
    <row r="264" spans="13:16" x14ac:dyDescent="0.25">
      <c r="M264" s="2">
        <v>262</v>
      </c>
      <c r="N264">
        <f t="shared" si="12"/>
        <v>188</v>
      </c>
      <c r="O264">
        <f t="shared" si="13"/>
        <v>162</v>
      </c>
      <c r="P264" s="19">
        <f t="shared" si="14"/>
        <v>45281</v>
      </c>
    </row>
    <row r="265" spans="13:16" x14ac:dyDescent="0.25">
      <c r="M265" s="2">
        <v>263</v>
      </c>
      <c r="N265">
        <f t="shared" si="12"/>
        <v>189</v>
      </c>
      <c r="O265">
        <f t="shared" si="13"/>
        <v>162</v>
      </c>
      <c r="P265" s="19">
        <f t="shared" si="14"/>
        <v>45282</v>
      </c>
    </row>
    <row r="266" spans="13:16" x14ac:dyDescent="0.25">
      <c r="M266" s="2">
        <v>264</v>
      </c>
      <c r="N266">
        <f t="shared" si="12"/>
        <v>189</v>
      </c>
      <c r="O266">
        <f t="shared" si="13"/>
        <v>162</v>
      </c>
      <c r="P266" s="19">
        <f t="shared" si="14"/>
        <v>45283</v>
      </c>
    </row>
    <row r="267" spans="13:16" x14ac:dyDescent="0.25">
      <c r="M267" s="2">
        <v>265</v>
      </c>
      <c r="N267">
        <f t="shared" si="12"/>
        <v>189</v>
      </c>
      <c r="O267">
        <f t="shared" si="13"/>
        <v>162</v>
      </c>
      <c r="P267" s="19">
        <f t="shared" si="14"/>
        <v>45284</v>
      </c>
    </row>
    <row r="268" spans="13:16" x14ac:dyDescent="0.25">
      <c r="M268" s="2">
        <v>266</v>
      </c>
      <c r="N268">
        <f t="shared" si="12"/>
        <v>190</v>
      </c>
      <c r="O268">
        <f t="shared" si="13"/>
        <v>162</v>
      </c>
      <c r="P268" s="19">
        <f t="shared" si="14"/>
        <v>45285</v>
      </c>
    </row>
    <row r="269" spans="13:16" x14ac:dyDescent="0.25">
      <c r="M269" s="2">
        <v>267</v>
      </c>
      <c r="N269">
        <f t="shared" si="12"/>
        <v>191</v>
      </c>
      <c r="O269">
        <f t="shared" si="13"/>
        <v>162</v>
      </c>
      <c r="P269" s="19">
        <f t="shared" si="14"/>
        <v>45286</v>
      </c>
    </row>
    <row r="270" spans="13:16" x14ac:dyDescent="0.25">
      <c r="M270" s="2">
        <v>268</v>
      </c>
      <c r="N270">
        <f t="shared" si="12"/>
        <v>192</v>
      </c>
      <c r="O270">
        <f t="shared" si="13"/>
        <v>162</v>
      </c>
      <c r="P270" s="19">
        <f t="shared" si="14"/>
        <v>45287</v>
      </c>
    </row>
    <row r="271" spans="13:16" x14ac:dyDescent="0.25">
      <c r="M271" s="2">
        <v>269</v>
      </c>
      <c r="N271">
        <f t="shared" si="12"/>
        <v>193</v>
      </c>
      <c r="O271">
        <f t="shared" si="13"/>
        <v>162</v>
      </c>
      <c r="P271" s="19">
        <f t="shared" si="14"/>
        <v>45288</v>
      </c>
    </row>
    <row r="272" spans="13:16" x14ac:dyDescent="0.25">
      <c r="M272" s="2">
        <v>270</v>
      </c>
      <c r="N272">
        <f t="shared" si="12"/>
        <v>194</v>
      </c>
      <c r="O272">
        <f t="shared" si="13"/>
        <v>162</v>
      </c>
      <c r="P272" s="19">
        <f t="shared" si="14"/>
        <v>45289</v>
      </c>
    </row>
    <row r="273" spans="13:16" x14ac:dyDescent="0.25">
      <c r="M273" s="2">
        <v>271</v>
      </c>
      <c r="N273">
        <f t="shared" si="12"/>
        <v>194</v>
      </c>
      <c r="O273">
        <f t="shared" si="13"/>
        <v>162</v>
      </c>
      <c r="P273" s="19">
        <f t="shared" si="14"/>
        <v>45290</v>
      </c>
    </row>
    <row r="274" spans="13:16" x14ac:dyDescent="0.25">
      <c r="M274" s="2">
        <v>272</v>
      </c>
      <c r="N274">
        <f t="shared" si="12"/>
        <v>194</v>
      </c>
      <c r="O274">
        <f t="shared" si="13"/>
        <v>162</v>
      </c>
      <c r="P274" s="19">
        <f t="shared" si="14"/>
        <v>45291</v>
      </c>
    </row>
    <row r="275" spans="13:16" x14ac:dyDescent="0.25">
      <c r="M275" s="2">
        <v>273</v>
      </c>
      <c r="N275">
        <f t="shared" si="12"/>
        <v>195</v>
      </c>
      <c r="O275">
        <f t="shared" si="13"/>
        <v>162</v>
      </c>
      <c r="P275" s="19">
        <f t="shared" si="14"/>
        <v>45292</v>
      </c>
    </row>
    <row r="276" spans="13:16" x14ac:dyDescent="0.25">
      <c r="M276" s="2">
        <v>274</v>
      </c>
      <c r="N276">
        <f t="shared" si="12"/>
        <v>196</v>
      </c>
      <c r="O276">
        <f t="shared" si="13"/>
        <v>163</v>
      </c>
      <c r="P276" s="19">
        <f t="shared" si="14"/>
        <v>45293</v>
      </c>
    </row>
    <row r="277" spans="13:16" x14ac:dyDescent="0.25">
      <c r="M277" s="2">
        <v>275</v>
      </c>
      <c r="N277">
        <f t="shared" si="12"/>
        <v>197</v>
      </c>
      <c r="O277">
        <f t="shared" si="13"/>
        <v>164</v>
      </c>
      <c r="P277" s="19">
        <f t="shared" si="14"/>
        <v>45294</v>
      </c>
    </row>
    <row r="278" spans="13:16" x14ac:dyDescent="0.25">
      <c r="M278" s="2">
        <v>276</v>
      </c>
      <c r="N278">
        <f t="shared" si="12"/>
        <v>198</v>
      </c>
      <c r="O278">
        <f t="shared" si="13"/>
        <v>165</v>
      </c>
      <c r="P278" s="19">
        <f t="shared" si="14"/>
        <v>45295</v>
      </c>
    </row>
    <row r="279" spans="13:16" x14ac:dyDescent="0.25">
      <c r="M279" s="2">
        <v>277</v>
      </c>
      <c r="N279">
        <f t="shared" si="12"/>
        <v>199</v>
      </c>
      <c r="O279">
        <f t="shared" si="13"/>
        <v>166</v>
      </c>
      <c r="P279" s="19">
        <f t="shared" si="14"/>
        <v>45296</v>
      </c>
    </row>
    <row r="280" spans="13:16" x14ac:dyDescent="0.25">
      <c r="M280" s="28">
        <v>278</v>
      </c>
      <c r="N280" s="29">
        <f t="shared" si="12"/>
        <v>199</v>
      </c>
      <c r="O280" s="29">
        <f t="shared" si="13"/>
        <v>166</v>
      </c>
      <c r="P280" s="19">
        <f t="shared" si="14"/>
        <v>45297</v>
      </c>
    </row>
    <row r="281" spans="13:16" x14ac:dyDescent="0.25">
      <c r="M281" s="2">
        <v>279</v>
      </c>
      <c r="N281">
        <f t="shared" si="12"/>
        <v>199</v>
      </c>
      <c r="O281">
        <f t="shared" si="13"/>
        <v>166</v>
      </c>
      <c r="P281" s="19">
        <f t="shared" si="14"/>
        <v>45298</v>
      </c>
    </row>
    <row r="282" spans="13:16" x14ac:dyDescent="0.25">
      <c r="M282" s="2">
        <v>280</v>
      </c>
      <c r="N282">
        <f t="shared" si="12"/>
        <v>200</v>
      </c>
      <c r="O282">
        <f t="shared" si="13"/>
        <v>167</v>
      </c>
      <c r="P282" s="19">
        <f t="shared" si="14"/>
        <v>45299</v>
      </c>
    </row>
    <row r="283" spans="13:16" x14ac:dyDescent="0.25">
      <c r="M283" s="2">
        <v>281</v>
      </c>
      <c r="N283">
        <f t="shared" si="12"/>
        <v>201</v>
      </c>
      <c r="O283">
        <f t="shared" si="13"/>
        <v>168</v>
      </c>
      <c r="P283" s="19">
        <f t="shared" si="14"/>
        <v>45300</v>
      </c>
    </row>
    <row r="284" spans="13:16" x14ac:dyDescent="0.25">
      <c r="M284" s="2">
        <v>282</v>
      </c>
      <c r="N284">
        <f t="shared" si="12"/>
        <v>202</v>
      </c>
      <c r="O284">
        <f t="shared" si="13"/>
        <v>169</v>
      </c>
      <c r="P284" s="19">
        <f t="shared" si="14"/>
        <v>45301</v>
      </c>
    </row>
    <row r="285" spans="13:16" x14ac:dyDescent="0.25">
      <c r="M285" s="2">
        <v>283</v>
      </c>
      <c r="N285">
        <f t="shared" si="12"/>
        <v>203</v>
      </c>
      <c r="O285">
        <f t="shared" si="13"/>
        <v>170</v>
      </c>
      <c r="P285" s="19">
        <f t="shared" si="14"/>
        <v>45302</v>
      </c>
    </row>
    <row r="286" spans="13:16" x14ac:dyDescent="0.25">
      <c r="M286" s="2">
        <v>284</v>
      </c>
      <c r="N286">
        <f t="shared" si="12"/>
        <v>204</v>
      </c>
      <c r="O286">
        <f t="shared" si="13"/>
        <v>171</v>
      </c>
      <c r="P286" s="19">
        <f t="shared" si="14"/>
        <v>45303</v>
      </c>
    </row>
    <row r="287" spans="13:16" x14ac:dyDescent="0.25">
      <c r="M287" s="2">
        <v>285</v>
      </c>
      <c r="N287">
        <f t="shared" si="12"/>
        <v>204</v>
      </c>
      <c r="O287">
        <f t="shared" si="13"/>
        <v>171</v>
      </c>
      <c r="P287" s="19">
        <f t="shared" si="14"/>
        <v>45304</v>
      </c>
    </row>
    <row r="288" spans="13:16" x14ac:dyDescent="0.25">
      <c r="M288" s="2">
        <v>286</v>
      </c>
      <c r="N288">
        <f t="shared" si="12"/>
        <v>204</v>
      </c>
      <c r="O288">
        <f t="shared" si="13"/>
        <v>171</v>
      </c>
      <c r="P288" s="19">
        <f t="shared" si="14"/>
        <v>45305</v>
      </c>
    </row>
    <row r="289" spans="13:16" x14ac:dyDescent="0.25">
      <c r="M289" s="2">
        <v>287</v>
      </c>
      <c r="N289">
        <f t="shared" si="12"/>
        <v>205</v>
      </c>
      <c r="O289">
        <f t="shared" si="13"/>
        <v>172</v>
      </c>
      <c r="P289" s="19">
        <f t="shared" si="14"/>
        <v>45306</v>
      </c>
    </row>
    <row r="290" spans="13:16" x14ac:dyDescent="0.25">
      <c r="M290" s="2">
        <v>288</v>
      </c>
      <c r="N290">
        <f t="shared" si="12"/>
        <v>206</v>
      </c>
      <c r="O290">
        <f t="shared" si="13"/>
        <v>173</v>
      </c>
      <c r="P290" s="19">
        <f t="shared" si="14"/>
        <v>45307</v>
      </c>
    </row>
    <row r="291" spans="13:16" x14ac:dyDescent="0.25">
      <c r="M291" s="2">
        <v>289</v>
      </c>
      <c r="N291">
        <f t="shared" si="12"/>
        <v>207</v>
      </c>
      <c r="O291">
        <f t="shared" si="13"/>
        <v>174</v>
      </c>
      <c r="P291" s="19">
        <f t="shared" si="14"/>
        <v>45308</v>
      </c>
    </row>
    <row r="292" spans="13:16" x14ac:dyDescent="0.25">
      <c r="M292" s="2">
        <v>290</v>
      </c>
      <c r="N292">
        <f t="shared" si="12"/>
        <v>208</v>
      </c>
      <c r="O292">
        <f t="shared" si="13"/>
        <v>175</v>
      </c>
      <c r="P292" s="19">
        <f t="shared" si="14"/>
        <v>45309</v>
      </c>
    </row>
    <row r="293" spans="13:16" x14ac:dyDescent="0.25">
      <c r="M293" s="2">
        <v>291</v>
      </c>
      <c r="N293">
        <f t="shared" si="12"/>
        <v>209</v>
      </c>
      <c r="O293">
        <f t="shared" si="13"/>
        <v>176</v>
      </c>
      <c r="P293" s="19">
        <f t="shared" si="14"/>
        <v>45310</v>
      </c>
    </row>
    <row r="294" spans="13:16" x14ac:dyDescent="0.25">
      <c r="M294" s="2">
        <v>292</v>
      </c>
      <c r="N294">
        <f t="shared" si="12"/>
        <v>209</v>
      </c>
      <c r="O294">
        <f t="shared" si="13"/>
        <v>176</v>
      </c>
      <c r="P294" s="19">
        <f t="shared" si="14"/>
        <v>45311</v>
      </c>
    </row>
    <row r="295" spans="13:16" x14ac:dyDescent="0.25">
      <c r="M295" s="2">
        <v>293</v>
      </c>
      <c r="N295">
        <f t="shared" si="12"/>
        <v>209</v>
      </c>
      <c r="O295">
        <f t="shared" si="13"/>
        <v>176</v>
      </c>
      <c r="P295" s="19">
        <f t="shared" si="14"/>
        <v>45312</v>
      </c>
    </row>
    <row r="296" spans="13:16" x14ac:dyDescent="0.25">
      <c r="M296" s="2">
        <v>294</v>
      </c>
      <c r="N296">
        <f t="shared" si="12"/>
        <v>210</v>
      </c>
      <c r="O296">
        <f t="shared" si="13"/>
        <v>177</v>
      </c>
      <c r="P296" s="19">
        <f t="shared" si="14"/>
        <v>45313</v>
      </c>
    </row>
    <row r="297" spans="13:16" x14ac:dyDescent="0.25">
      <c r="M297" s="2">
        <v>295</v>
      </c>
      <c r="N297">
        <f t="shared" si="12"/>
        <v>211</v>
      </c>
      <c r="O297">
        <f t="shared" si="13"/>
        <v>178</v>
      </c>
      <c r="P297" s="19">
        <f t="shared" si="14"/>
        <v>45314</v>
      </c>
    </row>
    <row r="298" spans="13:16" x14ac:dyDescent="0.25">
      <c r="M298" s="2">
        <v>296</v>
      </c>
      <c r="N298">
        <f t="shared" si="12"/>
        <v>212</v>
      </c>
      <c r="O298">
        <f t="shared" si="13"/>
        <v>179</v>
      </c>
      <c r="P298" s="19">
        <f t="shared" si="14"/>
        <v>45315</v>
      </c>
    </row>
    <row r="299" spans="13:16" x14ac:dyDescent="0.25">
      <c r="M299" s="2">
        <v>297</v>
      </c>
      <c r="N299">
        <f t="shared" si="12"/>
        <v>213</v>
      </c>
      <c r="O299">
        <f t="shared" si="13"/>
        <v>180</v>
      </c>
      <c r="P299" s="19">
        <f t="shared" si="14"/>
        <v>45316</v>
      </c>
    </row>
    <row r="300" spans="13:16" x14ac:dyDescent="0.25">
      <c r="M300" s="2">
        <v>298</v>
      </c>
      <c r="N300">
        <f t="shared" si="12"/>
        <v>214</v>
      </c>
      <c r="O300">
        <f t="shared" si="13"/>
        <v>181</v>
      </c>
      <c r="P300" s="19">
        <f t="shared" si="14"/>
        <v>45317</v>
      </c>
    </row>
    <row r="301" spans="13:16" x14ac:dyDescent="0.25">
      <c r="M301" s="2">
        <v>299</v>
      </c>
      <c r="N301">
        <f t="shared" si="12"/>
        <v>214</v>
      </c>
      <c r="O301">
        <f t="shared" si="13"/>
        <v>181</v>
      </c>
      <c r="P301" s="19">
        <f t="shared" si="14"/>
        <v>45318</v>
      </c>
    </row>
    <row r="302" spans="13:16" x14ac:dyDescent="0.25">
      <c r="M302" s="2">
        <v>300</v>
      </c>
      <c r="N302">
        <f t="shared" si="12"/>
        <v>214</v>
      </c>
      <c r="O302">
        <f t="shared" si="13"/>
        <v>181</v>
      </c>
      <c r="P302" s="19">
        <f t="shared" si="14"/>
        <v>45319</v>
      </c>
    </row>
    <row r="303" spans="13:16" x14ac:dyDescent="0.25">
      <c r="M303" s="2">
        <v>301</v>
      </c>
      <c r="N303">
        <f t="shared" si="12"/>
        <v>215</v>
      </c>
      <c r="O303">
        <f t="shared" si="13"/>
        <v>182</v>
      </c>
      <c r="P303" s="19">
        <f t="shared" si="14"/>
        <v>45320</v>
      </c>
    </row>
    <row r="304" spans="13:16" x14ac:dyDescent="0.25">
      <c r="M304" s="2">
        <v>302</v>
      </c>
      <c r="N304">
        <f t="shared" si="12"/>
        <v>216</v>
      </c>
      <c r="O304">
        <f t="shared" si="13"/>
        <v>183</v>
      </c>
      <c r="P304" s="19">
        <f t="shared" si="14"/>
        <v>45321</v>
      </c>
    </row>
    <row r="305" spans="13:16" x14ac:dyDescent="0.25">
      <c r="M305" s="2">
        <v>303</v>
      </c>
      <c r="N305">
        <f t="shared" si="12"/>
        <v>217</v>
      </c>
      <c r="O305">
        <f t="shared" si="13"/>
        <v>184</v>
      </c>
      <c r="P305" s="19">
        <f t="shared" si="14"/>
        <v>45322</v>
      </c>
    </row>
    <row r="306" spans="13:16" x14ac:dyDescent="0.25">
      <c r="M306" s="2">
        <v>304</v>
      </c>
      <c r="N306">
        <f t="shared" si="12"/>
        <v>218</v>
      </c>
      <c r="O306">
        <f t="shared" si="13"/>
        <v>185</v>
      </c>
      <c r="P306" s="19">
        <f t="shared" si="14"/>
        <v>45323</v>
      </c>
    </row>
    <row r="307" spans="13:16" x14ac:dyDescent="0.25">
      <c r="M307" s="2">
        <v>305</v>
      </c>
      <c r="N307">
        <f t="shared" si="12"/>
        <v>219</v>
      </c>
      <c r="O307">
        <f t="shared" si="13"/>
        <v>186</v>
      </c>
      <c r="P307" s="19">
        <f t="shared" si="14"/>
        <v>45324</v>
      </c>
    </row>
    <row r="308" spans="13:16" x14ac:dyDescent="0.25">
      <c r="M308" s="2">
        <v>306</v>
      </c>
      <c r="N308">
        <f t="shared" si="12"/>
        <v>219</v>
      </c>
      <c r="O308">
        <f t="shared" si="13"/>
        <v>186</v>
      </c>
      <c r="P308" s="19">
        <f t="shared" si="14"/>
        <v>45325</v>
      </c>
    </row>
    <row r="309" spans="13:16" x14ac:dyDescent="0.25">
      <c r="M309" s="2">
        <v>307</v>
      </c>
      <c r="N309">
        <f t="shared" si="12"/>
        <v>219</v>
      </c>
      <c r="O309">
        <f t="shared" si="13"/>
        <v>186</v>
      </c>
      <c r="P309" s="19">
        <f t="shared" si="14"/>
        <v>45326</v>
      </c>
    </row>
    <row r="310" spans="13:16" x14ac:dyDescent="0.25">
      <c r="M310" s="2">
        <v>308</v>
      </c>
      <c r="N310">
        <f t="shared" si="12"/>
        <v>220</v>
      </c>
      <c r="O310">
        <f t="shared" si="13"/>
        <v>187</v>
      </c>
      <c r="P310" s="19">
        <f t="shared" si="14"/>
        <v>45327</v>
      </c>
    </row>
    <row r="311" spans="13:16" x14ac:dyDescent="0.25">
      <c r="M311" s="2">
        <v>309</v>
      </c>
      <c r="N311">
        <f t="shared" si="12"/>
        <v>221</v>
      </c>
      <c r="O311">
        <f t="shared" si="13"/>
        <v>188</v>
      </c>
      <c r="P311" s="19">
        <f t="shared" si="14"/>
        <v>45328</v>
      </c>
    </row>
    <row r="312" spans="13:16" x14ac:dyDescent="0.25">
      <c r="M312" s="2">
        <v>310</v>
      </c>
      <c r="N312">
        <f t="shared" si="12"/>
        <v>222</v>
      </c>
      <c r="O312">
        <f t="shared" si="13"/>
        <v>189</v>
      </c>
      <c r="P312" s="19">
        <f t="shared" si="14"/>
        <v>45329</v>
      </c>
    </row>
    <row r="313" spans="13:16" x14ac:dyDescent="0.25">
      <c r="M313" s="2">
        <v>311</v>
      </c>
      <c r="N313">
        <f t="shared" si="12"/>
        <v>223</v>
      </c>
      <c r="O313">
        <f t="shared" si="13"/>
        <v>190</v>
      </c>
      <c r="P313" s="19">
        <f t="shared" si="14"/>
        <v>45330</v>
      </c>
    </row>
    <row r="314" spans="13:16" x14ac:dyDescent="0.25">
      <c r="M314" s="2">
        <v>312</v>
      </c>
      <c r="N314">
        <f t="shared" si="12"/>
        <v>224</v>
      </c>
      <c r="O314">
        <f t="shared" si="13"/>
        <v>191</v>
      </c>
      <c r="P314" s="19">
        <f t="shared" si="14"/>
        <v>45331</v>
      </c>
    </row>
    <row r="315" spans="13:16" x14ac:dyDescent="0.25">
      <c r="M315" s="2">
        <v>313</v>
      </c>
      <c r="N315">
        <f t="shared" si="12"/>
        <v>224</v>
      </c>
      <c r="O315">
        <f t="shared" si="13"/>
        <v>191</v>
      </c>
      <c r="P315" s="19">
        <f t="shared" si="14"/>
        <v>45332</v>
      </c>
    </row>
    <row r="316" spans="13:16" x14ac:dyDescent="0.25">
      <c r="M316" s="2">
        <v>314</v>
      </c>
      <c r="N316">
        <f t="shared" si="12"/>
        <v>224</v>
      </c>
      <c r="O316">
        <f t="shared" si="13"/>
        <v>191</v>
      </c>
      <c r="P316" s="19">
        <f t="shared" si="14"/>
        <v>45333</v>
      </c>
    </row>
    <row r="317" spans="13:16" x14ac:dyDescent="0.25">
      <c r="M317" s="2">
        <v>315</v>
      </c>
      <c r="N317">
        <f t="shared" si="12"/>
        <v>225</v>
      </c>
      <c r="O317">
        <f t="shared" si="13"/>
        <v>192</v>
      </c>
      <c r="P317" s="19">
        <f t="shared" si="14"/>
        <v>45334</v>
      </c>
    </row>
    <row r="318" spans="13:16" x14ac:dyDescent="0.25">
      <c r="M318" s="2">
        <v>316</v>
      </c>
      <c r="N318">
        <f t="shared" si="12"/>
        <v>226</v>
      </c>
      <c r="O318">
        <f t="shared" si="13"/>
        <v>193</v>
      </c>
      <c r="P318" s="19">
        <f t="shared" si="14"/>
        <v>45335</v>
      </c>
    </row>
    <row r="319" spans="13:16" x14ac:dyDescent="0.25">
      <c r="M319" s="2">
        <v>317</v>
      </c>
      <c r="N319">
        <f t="shared" si="12"/>
        <v>227</v>
      </c>
      <c r="O319">
        <f t="shared" si="13"/>
        <v>194</v>
      </c>
      <c r="P319" s="19">
        <f t="shared" si="14"/>
        <v>45336</v>
      </c>
    </row>
    <row r="320" spans="13:16" x14ac:dyDescent="0.25">
      <c r="M320" s="2">
        <v>318</v>
      </c>
      <c r="N320">
        <f t="shared" si="12"/>
        <v>228</v>
      </c>
      <c r="O320">
        <f t="shared" si="13"/>
        <v>195</v>
      </c>
      <c r="P320" s="19">
        <f t="shared" si="14"/>
        <v>45337</v>
      </c>
    </row>
    <row r="321" spans="13:16" x14ac:dyDescent="0.25">
      <c r="M321" s="2">
        <v>319</v>
      </c>
      <c r="N321">
        <f t="shared" si="12"/>
        <v>229</v>
      </c>
      <c r="O321">
        <f t="shared" si="13"/>
        <v>196</v>
      </c>
      <c r="P321" s="19">
        <f t="shared" si="14"/>
        <v>45338</v>
      </c>
    </row>
    <row r="322" spans="13:16" x14ac:dyDescent="0.25">
      <c r="M322" s="2">
        <v>320</v>
      </c>
      <c r="N322">
        <f t="shared" si="12"/>
        <v>229</v>
      </c>
      <c r="O322">
        <f t="shared" si="13"/>
        <v>196</v>
      </c>
      <c r="P322" s="19">
        <f t="shared" si="14"/>
        <v>45339</v>
      </c>
    </row>
    <row r="323" spans="13:16" x14ac:dyDescent="0.25">
      <c r="M323" s="2">
        <v>321</v>
      </c>
      <c r="N323">
        <f t="shared" ref="N323:N367" si="15">IF(AND(WEEKDAY(P323)&gt;1,WEEKDAY(P323)&lt;7),N322+1,N322)</f>
        <v>229</v>
      </c>
      <c r="O323">
        <f t="shared" si="13"/>
        <v>196</v>
      </c>
      <c r="P323" s="19">
        <f t="shared" si="14"/>
        <v>45340</v>
      </c>
    </row>
    <row r="324" spans="13:16" x14ac:dyDescent="0.25">
      <c r="M324" s="2">
        <v>322</v>
      </c>
      <c r="N324">
        <f t="shared" si="15"/>
        <v>230</v>
      </c>
      <c r="O324">
        <f t="shared" ref="O324:O367" si="16">IF(AND(WEEKDAY(P324)&gt;1,WEEKDAY(P324)&lt;7,IF(COUNTIF($A$2:$A$44,P324)&gt;0,FALSE,TRUE)),O323+1,O323)</f>
        <v>197</v>
      </c>
      <c r="P324" s="19">
        <f t="shared" ref="P324:P367" si="17">+P323+1</f>
        <v>45341</v>
      </c>
    </row>
    <row r="325" spans="13:16" x14ac:dyDescent="0.25">
      <c r="M325" s="2">
        <v>323</v>
      </c>
      <c r="N325">
        <f t="shared" si="15"/>
        <v>231</v>
      </c>
      <c r="O325">
        <f t="shared" si="16"/>
        <v>198</v>
      </c>
      <c r="P325" s="19">
        <f t="shared" si="17"/>
        <v>45342</v>
      </c>
    </row>
    <row r="326" spans="13:16" x14ac:dyDescent="0.25">
      <c r="M326" s="2">
        <v>324</v>
      </c>
      <c r="N326">
        <f t="shared" si="15"/>
        <v>232</v>
      </c>
      <c r="O326">
        <f t="shared" si="16"/>
        <v>199</v>
      </c>
      <c r="P326" s="19">
        <f t="shared" si="17"/>
        <v>45343</v>
      </c>
    </row>
    <row r="327" spans="13:16" x14ac:dyDescent="0.25">
      <c r="M327" s="2">
        <v>325</v>
      </c>
      <c r="N327">
        <f t="shared" si="15"/>
        <v>233</v>
      </c>
      <c r="O327">
        <f t="shared" si="16"/>
        <v>200</v>
      </c>
      <c r="P327" s="19">
        <f t="shared" si="17"/>
        <v>45344</v>
      </c>
    </row>
    <row r="328" spans="13:16" x14ac:dyDescent="0.25">
      <c r="M328" s="2">
        <v>326</v>
      </c>
      <c r="N328">
        <f t="shared" si="15"/>
        <v>234</v>
      </c>
      <c r="O328">
        <f t="shared" si="16"/>
        <v>201</v>
      </c>
      <c r="P328" s="19">
        <f t="shared" si="17"/>
        <v>45345</v>
      </c>
    </row>
    <row r="329" spans="13:16" x14ac:dyDescent="0.25">
      <c r="M329" s="2">
        <v>327</v>
      </c>
      <c r="N329">
        <f t="shared" si="15"/>
        <v>234</v>
      </c>
      <c r="O329">
        <f t="shared" si="16"/>
        <v>201</v>
      </c>
      <c r="P329" s="19">
        <f t="shared" si="17"/>
        <v>45346</v>
      </c>
    </row>
    <row r="330" spans="13:16" x14ac:dyDescent="0.25">
      <c r="M330" s="2">
        <v>328</v>
      </c>
      <c r="N330">
        <f t="shared" si="15"/>
        <v>234</v>
      </c>
      <c r="O330">
        <f t="shared" si="16"/>
        <v>201</v>
      </c>
      <c r="P330" s="19">
        <f t="shared" si="17"/>
        <v>45347</v>
      </c>
    </row>
    <row r="331" spans="13:16" x14ac:dyDescent="0.25">
      <c r="M331" s="2">
        <v>329</v>
      </c>
      <c r="N331">
        <f t="shared" si="15"/>
        <v>235</v>
      </c>
      <c r="O331">
        <f t="shared" si="16"/>
        <v>202</v>
      </c>
      <c r="P331" s="19">
        <f t="shared" si="17"/>
        <v>45348</v>
      </c>
    </row>
    <row r="332" spans="13:16" x14ac:dyDescent="0.25">
      <c r="M332" s="2">
        <v>330</v>
      </c>
      <c r="N332">
        <f t="shared" si="15"/>
        <v>236</v>
      </c>
      <c r="O332">
        <f t="shared" si="16"/>
        <v>203</v>
      </c>
      <c r="P332" s="19">
        <f t="shared" si="17"/>
        <v>45349</v>
      </c>
    </row>
    <row r="333" spans="13:16" x14ac:dyDescent="0.25">
      <c r="M333" s="2">
        <v>331</v>
      </c>
      <c r="N333">
        <f t="shared" si="15"/>
        <v>237</v>
      </c>
      <c r="O333">
        <f t="shared" si="16"/>
        <v>204</v>
      </c>
      <c r="P333" s="19">
        <f t="shared" si="17"/>
        <v>45350</v>
      </c>
    </row>
    <row r="334" spans="13:16" x14ac:dyDescent="0.25">
      <c r="M334" s="2">
        <v>332</v>
      </c>
      <c r="N334">
        <f t="shared" si="15"/>
        <v>238</v>
      </c>
      <c r="O334">
        <f t="shared" si="16"/>
        <v>205</v>
      </c>
      <c r="P334" s="19">
        <f t="shared" si="17"/>
        <v>45351</v>
      </c>
    </row>
    <row r="335" spans="13:16" x14ac:dyDescent="0.25">
      <c r="M335" s="2">
        <v>333</v>
      </c>
      <c r="N335">
        <f t="shared" si="15"/>
        <v>239</v>
      </c>
      <c r="O335">
        <f t="shared" si="16"/>
        <v>206</v>
      </c>
      <c r="P335" s="19">
        <f t="shared" si="17"/>
        <v>45352</v>
      </c>
    </row>
    <row r="336" spans="13:16" x14ac:dyDescent="0.25">
      <c r="M336" s="2">
        <v>334</v>
      </c>
      <c r="N336">
        <f t="shared" si="15"/>
        <v>239</v>
      </c>
      <c r="O336">
        <f t="shared" si="16"/>
        <v>206</v>
      </c>
      <c r="P336" s="19">
        <f t="shared" si="17"/>
        <v>45353</v>
      </c>
    </row>
    <row r="337" spans="13:16" x14ac:dyDescent="0.25">
      <c r="M337" s="2">
        <v>335</v>
      </c>
      <c r="N337">
        <f t="shared" si="15"/>
        <v>239</v>
      </c>
      <c r="O337">
        <f t="shared" si="16"/>
        <v>206</v>
      </c>
      <c r="P337" s="19">
        <f t="shared" si="17"/>
        <v>45354</v>
      </c>
    </row>
    <row r="338" spans="13:16" x14ac:dyDescent="0.25">
      <c r="M338" s="2">
        <v>336</v>
      </c>
      <c r="N338">
        <f t="shared" si="15"/>
        <v>240</v>
      </c>
      <c r="O338">
        <f t="shared" si="16"/>
        <v>207</v>
      </c>
      <c r="P338" s="19">
        <f t="shared" si="17"/>
        <v>45355</v>
      </c>
    </row>
    <row r="339" spans="13:16" x14ac:dyDescent="0.25">
      <c r="M339" s="2">
        <v>337</v>
      </c>
      <c r="N339">
        <f t="shared" si="15"/>
        <v>241</v>
      </c>
      <c r="O339">
        <f t="shared" si="16"/>
        <v>208</v>
      </c>
      <c r="P339" s="19">
        <f t="shared" si="17"/>
        <v>45356</v>
      </c>
    </row>
    <row r="340" spans="13:16" x14ac:dyDescent="0.25">
      <c r="M340" s="2">
        <v>338</v>
      </c>
      <c r="N340">
        <f t="shared" si="15"/>
        <v>242</v>
      </c>
      <c r="O340">
        <f t="shared" si="16"/>
        <v>209</v>
      </c>
      <c r="P340" s="19">
        <f t="shared" si="17"/>
        <v>45357</v>
      </c>
    </row>
    <row r="341" spans="13:16" x14ac:dyDescent="0.25">
      <c r="M341" s="2">
        <v>339</v>
      </c>
      <c r="N341">
        <f t="shared" si="15"/>
        <v>243</v>
      </c>
      <c r="O341">
        <f t="shared" si="16"/>
        <v>210</v>
      </c>
      <c r="P341" s="19">
        <f t="shared" si="17"/>
        <v>45358</v>
      </c>
    </row>
    <row r="342" spans="13:16" x14ac:dyDescent="0.25">
      <c r="M342" s="2">
        <v>340</v>
      </c>
      <c r="N342">
        <f t="shared" si="15"/>
        <v>244</v>
      </c>
      <c r="O342">
        <f t="shared" si="16"/>
        <v>211</v>
      </c>
      <c r="P342" s="19">
        <f t="shared" si="17"/>
        <v>45359</v>
      </c>
    </row>
    <row r="343" spans="13:16" x14ac:dyDescent="0.25">
      <c r="M343" s="2">
        <v>341</v>
      </c>
      <c r="N343">
        <f t="shared" si="15"/>
        <v>244</v>
      </c>
      <c r="O343">
        <f t="shared" si="16"/>
        <v>211</v>
      </c>
      <c r="P343" s="19">
        <f t="shared" si="17"/>
        <v>45360</v>
      </c>
    </row>
    <row r="344" spans="13:16" x14ac:dyDescent="0.25">
      <c r="M344" s="2">
        <v>342</v>
      </c>
      <c r="N344">
        <f t="shared" si="15"/>
        <v>244</v>
      </c>
      <c r="O344">
        <f t="shared" si="16"/>
        <v>211</v>
      </c>
      <c r="P344" s="19">
        <f t="shared" si="17"/>
        <v>45361</v>
      </c>
    </row>
    <row r="345" spans="13:16" x14ac:dyDescent="0.25">
      <c r="M345" s="2">
        <v>343</v>
      </c>
      <c r="N345">
        <f t="shared" si="15"/>
        <v>245</v>
      </c>
      <c r="O345">
        <f t="shared" si="16"/>
        <v>212</v>
      </c>
      <c r="P345" s="19">
        <f t="shared" si="17"/>
        <v>45362</v>
      </c>
    </row>
    <row r="346" spans="13:16" x14ac:dyDescent="0.25">
      <c r="M346" s="2">
        <v>344</v>
      </c>
      <c r="N346">
        <f t="shared" si="15"/>
        <v>246</v>
      </c>
      <c r="O346">
        <f t="shared" si="16"/>
        <v>213</v>
      </c>
      <c r="P346" s="19">
        <f t="shared" si="17"/>
        <v>45363</v>
      </c>
    </row>
    <row r="347" spans="13:16" x14ac:dyDescent="0.25">
      <c r="M347" s="2">
        <v>345</v>
      </c>
      <c r="N347">
        <f t="shared" si="15"/>
        <v>247</v>
      </c>
      <c r="O347">
        <f t="shared" si="16"/>
        <v>214</v>
      </c>
      <c r="P347" s="19">
        <f t="shared" si="17"/>
        <v>45364</v>
      </c>
    </row>
    <row r="348" spans="13:16" x14ac:dyDescent="0.25">
      <c r="M348" s="2">
        <v>346</v>
      </c>
      <c r="N348">
        <f t="shared" si="15"/>
        <v>248</v>
      </c>
      <c r="O348">
        <f t="shared" si="16"/>
        <v>215</v>
      </c>
      <c r="P348" s="19">
        <f t="shared" si="17"/>
        <v>45365</v>
      </c>
    </row>
    <row r="349" spans="13:16" x14ac:dyDescent="0.25">
      <c r="M349" s="2">
        <v>347</v>
      </c>
      <c r="N349">
        <f t="shared" si="15"/>
        <v>249</v>
      </c>
      <c r="O349">
        <f t="shared" si="16"/>
        <v>216</v>
      </c>
      <c r="P349" s="19">
        <f t="shared" si="17"/>
        <v>45366</v>
      </c>
    </row>
    <row r="350" spans="13:16" x14ac:dyDescent="0.25">
      <c r="M350" s="2">
        <v>348</v>
      </c>
      <c r="N350">
        <f t="shared" si="15"/>
        <v>249</v>
      </c>
      <c r="O350">
        <f t="shared" si="16"/>
        <v>216</v>
      </c>
      <c r="P350" s="19">
        <f t="shared" si="17"/>
        <v>45367</v>
      </c>
    </row>
    <row r="351" spans="13:16" x14ac:dyDescent="0.25">
      <c r="M351" s="2">
        <v>349</v>
      </c>
      <c r="N351">
        <f t="shared" si="15"/>
        <v>249</v>
      </c>
      <c r="O351">
        <f t="shared" si="16"/>
        <v>216</v>
      </c>
      <c r="P351" s="19">
        <f t="shared" si="17"/>
        <v>45368</v>
      </c>
    </row>
    <row r="352" spans="13:16" x14ac:dyDescent="0.25">
      <c r="M352" s="2">
        <v>350</v>
      </c>
      <c r="N352">
        <f t="shared" si="15"/>
        <v>250</v>
      </c>
      <c r="O352">
        <f t="shared" si="16"/>
        <v>217</v>
      </c>
      <c r="P352" s="19">
        <f t="shared" si="17"/>
        <v>45369</v>
      </c>
    </row>
    <row r="353" spans="13:16" x14ac:dyDescent="0.25">
      <c r="M353" s="2">
        <v>351</v>
      </c>
      <c r="N353">
        <f t="shared" si="15"/>
        <v>251</v>
      </c>
      <c r="O353">
        <f t="shared" si="16"/>
        <v>218</v>
      </c>
      <c r="P353" s="19">
        <f t="shared" si="17"/>
        <v>45370</v>
      </c>
    </row>
    <row r="354" spans="13:16" x14ac:dyDescent="0.25">
      <c r="M354" s="2">
        <v>352</v>
      </c>
      <c r="N354">
        <f t="shared" si="15"/>
        <v>252</v>
      </c>
      <c r="O354">
        <f t="shared" si="16"/>
        <v>219</v>
      </c>
      <c r="P354" s="19">
        <f t="shared" si="17"/>
        <v>45371</v>
      </c>
    </row>
    <row r="355" spans="13:16" x14ac:dyDescent="0.25">
      <c r="M355" s="2">
        <v>353</v>
      </c>
      <c r="N355">
        <f t="shared" si="15"/>
        <v>253</v>
      </c>
      <c r="O355">
        <f t="shared" si="16"/>
        <v>220</v>
      </c>
      <c r="P355" s="19">
        <f t="shared" si="17"/>
        <v>45372</v>
      </c>
    </row>
    <row r="356" spans="13:16" x14ac:dyDescent="0.25">
      <c r="M356" s="2">
        <v>354</v>
      </c>
      <c r="N356">
        <f t="shared" si="15"/>
        <v>254</v>
      </c>
      <c r="O356">
        <f t="shared" si="16"/>
        <v>221</v>
      </c>
      <c r="P356" s="19">
        <f t="shared" si="17"/>
        <v>45373</v>
      </c>
    </row>
    <row r="357" spans="13:16" x14ac:dyDescent="0.25">
      <c r="M357" s="2">
        <v>355</v>
      </c>
      <c r="N357">
        <f t="shared" si="15"/>
        <v>254</v>
      </c>
      <c r="O357">
        <f t="shared" si="16"/>
        <v>221</v>
      </c>
      <c r="P357" s="19">
        <f t="shared" si="17"/>
        <v>45374</v>
      </c>
    </row>
    <row r="358" spans="13:16" x14ac:dyDescent="0.25">
      <c r="M358" s="2">
        <v>356</v>
      </c>
      <c r="N358">
        <f t="shared" si="15"/>
        <v>254</v>
      </c>
      <c r="O358">
        <f t="shared" si="16"/>
        <v>221</v>
      </c>
      <c r="P358" s="19">
        <f t="shared" si="17"/>
        <v>45375</v>
      </c>
    </row>
    <row r="359" spans="13:16" x14ac:dyDescent="0.25">
      <c r="M359" s="2">
        <v>357</v>
      </c>
      <c r="N359">
        <f t="shared" si="15"/>
        <v>255</v>
      </c>
      <c r="O359">
        <f t="shared" si="16"/>
        <v>222</v>
      </c>
      <c r="P359" s="19">
        <f t="shared" si="17"/>
        <v>45376</v>
      </c>
    </row>
    <row r="360" spans="13:16" x14ac:dyDescent="0.25">
      <c r="M360" s="2">
        <v>358</v>
      </c>
      <c r="N360">
        <f t="shared" si="15"/>
        <v>256</v>
      </c>
      <c r="O360">
        <f t="shared" si="16"/>
        <v>223</v>
      </c>
      <c r="P360" s="19">
        <f t="shared" si="17"/>
        <v>45377</v>
      </c>
    </row>
    <row r="361" spans="13:16" x14ac:dyDescent="0.25">
      <c r="M361" s="2">
        <v>359</v>
      </c>
      <c r="N361">
        <f t="shared" si="15"/>
        <v>257</v>
      </c>
      <c r="O361">
        <f t="shared" si="16"/>
        <v>224</v>
      </c>
      <c r="P361" s="19">
        <f t="shared" si="17"/>
        <v>45378</v>
      </c>
    </row>
    <row r="362" spans="13:16" x14ac:dyDescent="0.25">
      <c r="M362" s="2">
        <v>360</v>
      </c>
      <c r="N362">
        <f t="shared" si="15"/>
        <v>258</v>
      </c>
      <c r="O362">
        <f t="shared" si="16"/>
        <v>225</v>
      </c>
      <c r="P362" s="19">
        <f t="shared" si="17"/>
        <v>45379</v>
      </c>
    </row>
    <row r="363" spans="13:16" x14ac:dyDescent="0.25">
      <c r="M363" s="2">
        <v>361</v>
      </c>
      <c r="N363">
        <f t="shared" si="15"/>
        <v>259</v>
      </c>
      <c r="O363">
        <f t="shared" si="16"/>
        <v>226</v>
      </c>
      <c r="P363" s="19">
        <f t="shared" si="17"/>
        <v>45380</v>
      </c>
    </row>
    <row r="364" spans="13:16" x14ac:dyDescent="0.25">
      <c r="M364" s="2">
        <v>362</v>
      </c>
      <c r="N364">
        <f t="shared" si="15"/>
        <v>259</v>
      </c>
      <c r="O364">
        <f t="shared" si="16"/>
        <v>226</v>
      </c>
      <c r="P364" s="19">
        <f t="shared" si="17"/>
        <v>45381</v>
      </c>
    </row>
    <row r="365" spans="13:16" x14ac:dyDescent="0.25">
      <c r="M365" s="2">
        <v>363</v>
      </c>
      <c r="N365">
        <f t="shared" si="15"/>
        <v>259</v>
      </c>
      <c r="O365">
        <f t="shared" si="16"/>
        <v>226</v>
      </c>
      <c r="P365" s="19">
        <f t="shared" si="17"/>
        <v>45382</v>
      </c>
    </row>
    <row r="366" spans="13:16" x14ac:dyDescent="0.25">
      <c r="M366" s="2">
        <v>364</v>
      </c>
      <c r="N366">
        <f t="shared" si="15"/>
        <v>260</v>
      </c>
      <c r="O366">
        <f t="shared" si="16"/>
        <v>227</v>
      </c>
      <c r="P366" s="19">
        <f t="shared" si="17"/>
        <v>45383</v>
      </c>
    </row>
    <row r="367" spans="13:16" x14ac:dyDescent="0.25">
      <c r="M367" s="2">
        <v>365</v>
      </c>
      <c r="N367">
        <f t="shared" si="15"/>
        <v>261</v>
      </c>
      <c r="O367">
        <f t="shared" si="16"/>
        <v>228</v>
      </c>
      <c r="P367" s="19">
        <f t="shared" si="17"/>
        <v>45384</v>
      </c>
    </row>
  </sheetData>
  <hyperlinks>
    <hyperlink ref="E27" r:id="rId1" location="gsc.tab=0" xr:uid="{E29A1ACD-C95C-4CAB-B2B9-11015777AB32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11A7C8-F589-4395-8625-55144222E716}">
  <sheetPr codeName="Hoja17"/>
  <dimension ref="A1:A15"/>
  <sheetViews>
    <sheetView workbookViewId="0">
      <selection activeCell="F17" sqref="F17"/>
    </sheetView>
  </sheetViews>
  <sheetFormatPr baseColWidth="10" defaultRowHeight="15" x14ac:dyDescent="0.25"/>
  <cols>
    <col min="1" max="1" width="19" style="33" customWidth="1"/>
  </cols>
  <sheetData>
    <row r="1" spans="1:1" x14ac:dyDescent="0.25">
      <c r="A1" s="36" t="s">
        <v>113</v>
      </c>
    </row>
    <row r="2" spans="1:1" x14ac:dyDescent="0.25">
      <c r="A2" s="37" t="s">
        <v>114</v>
      </c>
    </row>
    <row r="3" spans="1:1" x14ac:dyDescent="0.25">
      <c r="A3" s="35" t="s">
        <v>115</v>
      </c>
    </row>
    <row r="4" spans="1:1" x14ac:dyDescent="0.25">
      <c r="A4" s="37" t="s">
        <v>117</v>
      </c>
    </row>
    <row r="5" spans="1:1" x14ac:dyDescent="0.25">
      <c r="A5" s="37" t="s">
        <v>116</v>
      </c>
    </row>
    <row r="6" spans="1:1" x14ac:dyDescent="0.25">
      <c r="A6" s="35" t="s">
        <v>131</v>
      </c>
    </row>
    <row r="7" spans="1:1" x14ac:dyDescent="0.25">
      <c r="A7" s="34"/>
    </row>
    <row r="8" spans="1:1" x14ac:dyDescent="0.25">
      <c r="A8" s="34"/>
    </row>
    <row r="9" spans="1:1" x14ac:dyDescent="0.25">
      <c r="A9" s="34"/>
    </row>
    <row r="10" spans="1:1" x14ac:dyDescent="0.25">
      <c r="A10" s="34"/>
    </row>
    <row r="11" spans="1:1" x14ac:dyDescent="0.25">
      <c r="A11" s="34" t="s">
        <v>135</v>
      </c>
    </row>
    <row r="12" spans="1:1" x14ac:dyDescent="0.25">
      <c r="A12" s="34"/>
    </row>
    <row r="13" spans="1:1" x14ac:dyDescent="0.25">
      <c r="A13" s="34"/>
    </row>
    <row r="14" spans="1:1" x14ac:dyDescent="0.25">
      <c r="A14" s="34"/>
    </row>
    <row r="15" spans="1:1" x14ac:dyDescent="0.25">
      <c r="A15" s="34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Calculadora</vt:lpstr>
      <vt:lpstr>Info_Bonos</vt:lpstr>
      <vt:lpstr>rev_inhabiles</vt:lpstr>
      <vt:lpstr>Bonos_disponibles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JHONATHAN SANTACANA</dc:creator>
  <cp:lastModifiedBy>Jhonathan Carmelo Santa Canarivero - Ironbit</cp:lastModifiedBy>
  <dcterms:created xsi:type="dcterms:W3CDTF">2023-08-30T19:09:41Z</dcterms:created>
  <dcterms:modified xsi:type="dcterms:W3CDTF">2023-10-09T05:53:01Z</dcterms:modified>
</cp:coreProperties>
</file>